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github-tktomaru\sample_vba\"/>
    </mc:Choice>
  </mc:AlternateContent>
  <bookViews>
    <workbookView xWindow="0" yWindow="0" windowWidth="8370" windowHeight="3070"/>
  </bookViews>
  <sheets>
    <sheet name="工程表" sheetId="1" r:id="rId1"/>
    <sheet name="工程表Config" sheetId="2" r:id="rId2"/>
  </sheets>
  <functionGroups builtInGroupCount="18"/>
  <externalReferences>
    <externalReference r:id="rId3"/>
  </externalReferences>
  <definedNames>
    <definedName name="holiday">[1]HOL!$A$2:$A$73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2" i="1" l="1"/>
  <c r="R4" i="1"/>
  <c r="E25" i="1" l="1"/>
  <c r="O12" i="1" l="1"/>
  <c r="O11" i="1"/>
  <c r="O9" i="1"/>
  <c r="O8" i="1"/>
  <c r="O7" i="1"/>
  <c r="O6" i="1"/>
  <c r="O10" i="1"/>
  <c r="O5" i="1"/>
  <c r="R2" i="1"/>
  <c r="S3" i="1"/>
  <c r="T3" i="1" s="1"/>
  <c r="U3" i="1" l="1"/>
  <c r="U4" i="1" s="1"/>
  <c r="T4" i="1"/>
  <c r="S4" i="1"/>
  <c r="V3" i="1" l="1"/>
  <c r="V4" i="1" s="1"/>
  <c r="W3" i="1" l="1"/>
  <c r="W4" i="1" s="1"/>
  <c r="X3" i="1" l="1"/>
  <c r="Y3" i="1" s="1"/>
  <c r="X4" i="1" l="1"/>
  <c r="Z3" i="1"/>
  <c r="Y4" i="1"/>
  <c r="AA3" i="1" l="1"/>
  <c r="Z4" i="1"/>
  <c r="AB3" i="1" l="1"/>
  <c r="AA4" i="1"/>
  <c r="AC3" i="1" l="1"/>
  <c r="AB4" i="1"/>
  <c r="AC4" i="1" l="1"/>
  <c r="AD3" i="1"/>
  <c r="AD4" i="1" l="1"/>
  <c r="AE3" i="1"/>
  <c r="AE4" i="1" l="1"/>
  <c r="AF3" i="1"/>
  <c r="AF4" i="1" s="1"/>
</calcChain>
</file>

<file path=xl/sharedStrings.xml><?xml version="1.0" encoding="utf-8"?>
<sst xmlns="http://schemas.openxmlformats.org/spreadsheetml/2006/main" count="354" uniqueCount="56">
  <si>
    <t>タスク名</t>
    <rPh sb="3" eb="4">
      <t>メイ</t>
    </rPh>
    <phoneticPr fontId="1"/>
  </si>
  <si>
    <t>開始日</t>
    <rPh sb="0" eb="3">
      <t>カイシビ</t>
    </rPh>
    <phoneticPr fontId="1"/>
  </si>
  <si>
    <t>終了日</t>
    <rPh sb="0" eb="3">
      <t>シュウリョウビ</t>
    </rPh>
    <phoneticPr fontId="1"/>
  </si>
  <si>
    <t>進捗率</t>
    <rPh sb="0" eb="3">
      <t>シンチョクリツ</t>
    </rPh>
    <phoneticPr fontId="1"/>
  </si>
  <si>
    <t>項目番号</t>
    <rPh sb="0" eb="4">
      <t>コウモクバンゴウ</t>
    </rPh>
    <phoneticPr fontId="1"/>
  </si>
  <si>
    <t>大</t>
    <rPh sb="0" eb="1">
      <t>ダイ</t>
    </rPh>
    <phoneticPr fontId="1"/>
  </si>
  <si>
    <t>中</t>
    <rPh sb="0" eb="1">
      <t>チュウ</t>
    </rPh>
    <phoneticPr fontId="1"/>
  </si>
  <si>
    <t>小</t>
    <rPh sb="0" eb="1">
      <t>ショウ</t>
    </rPh>
    <phoneticPr fontId="1"/>
  </si>
  <si>
    <t>グループ</t>
    <phoneticPr fontId="1"/>
  </si>
  <si>
    <t>カテゴリ</t>
    <phoneticPr fontId="1"/>
  </si>
  <si>
    <t>計画</t>
    <rPh sb="0" eb="2">
      <t>ケイカク</t>
    </rPh>
    <phoneticPr fontId="1"/>
  </si>
  <si>
    <t>実働</t>
    <rPh sb="0" eb="2">
      <t>ジツドウ</t>
    </rPh>
    <phoneticPr fontId="1"/>
  </si>
  <si>
    <t>担当</t>
    <rPh sb="0" eb="2">
      <t>タントウ</t>
    </rPh>
    <phoneticPr fontId="1"/>
  </si>
  <si>
    <t>祝日</t>
    <rPh sb="0" eb="2">
      <t>シュクジツ</t>
    </rPh>
    <phoneticPr fontId="1"/>
  </si>
  <si>
    <t>担当者</t>
  </si>
  <si>
    <t>元日</t>
  </si>
  <si>
    <t>成人の日</t>
  </si>
  <si>
    <t>建国記念の日</t>
  </si>
  <si>
    <t>天皇誕生日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</si>
  <si>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</si>
  <si>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</si>
  <si>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</si>
  <si>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</si>
  <si>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</si>
  <si>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</si>
  <si>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</si>
  <si>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</si>
  <si>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秋分の日</t>
  </si>
  <si>
    <t>スポーツの日</t>
  </si>
  <si>
    <t>文化の日</t>
  </si>
  <si>
    <t>勤労感謝の日</t>
  </si>
  <si>
    <t>eng2</t>
    <phoneticPr fontId="1"/>
  </si>
  <si>
    <t>eng3</t>
    <phoneticPr fontId="1"/>
  </si>
  <si>
    <t>ユーザー</t>
    <phoneticPr fontId="1"/>
  </si>
  <si>
    <t>非稼働曜日</t>
    <phoneticPr fontId="1"/>
  </si>
  <si>
    <t>月</t>
    <rPh sb="0" eb="1">
      <t>ゲツ</t>
    </rPh>
    <phoneticPr fontId="1"/>
  </si>
  <si>
    <t>非稼働日</t>
    <rPh sb="0" eb="1">
      <t>ヒ</t>
    </rPh>
    <rPh sb="1" eb="3">
      <t>カドウ</t>
    </rPh>
    <phoneticPr fontId="1"/>
  </si>
  <si>
    <t>色（計画）</t>
    <rPh sb="0" eb="1">
      <t>イロ</t>
    </rPh>
    <rPh sb="2" eb="4">
      <t>ケイカク</t>
    </rPh>
    <phoneticPr fontId="1"/>
  </si>
  <si>
    <t>色（進捗）</t>
    <rPh sb="0" eb="1">
      <t>イロ</t>
    </rPh>
    <rPh sb="2" eb="4">
      <t>シンチョク</t>
    </rPh>
    <phoneticPr fontId="1"/>
  </si>
  <si>
    <t>eng1</t>
  </si>
  <si>
    <t>作業日数</t>
    <rPh sb="0" eb="4">
      <t>サギョウニッスウ</t>
    </rPh>
    <phoneticPr fontId="1"/>
  </si>
  <si>
    <t>振替休日</t>
  </si>
  <si>
    <t>国民の休日</t>
  </si>
  <si>
    <t>除外担当</t>
    <rPh sb="0" eb="2">
      <t>ジョガイ</t>
    </rPh>
    <rPh sb="2" eb="4">
      <t>タントウ</t>
    </rPh>
    <phoneticPr fontId="1"/>
  </si>
  <si>
    <t>.</t>
    <phoneticPr fontId="1"/>
  </si>
  <si>
    <t>開始日</t>
    <rPh sb="0" eb="3">
      <t>カイシビ</t>
    </rPh>
    <phoneticPr fontId="1"/>
  </si>
  <si>
    <t>当日</t>
    <rPh sb="0" eb="2">
      <t>トウジツ</t>
    </rPh>
    <phoneticPr fontId="1"/>
  </si>
  <si>
    <t>土,日</t>
    <rPh sb="0" eb="1">
      <t>ド</t>
    </rPh>
    <rPh sb="2" eb="3">
      <t>ニチ</t>
    </rPh>
    <phoneticPr fontId="1"/>
  </si>
  <si>
    <t>土,日</t>
    <phoneticPr fontId="1"/>
  </si>
  <si>
    <t>優先</t>
    <rPh sb="0" eb="2">
      <t>ユウセン</t>
    </rPh>
    <phoneticPr fontId="1"/>
  </si>
  <si>
    <t>度</t>
    <rPh sb="0" eb="1">
      <t>ド</t>
    </rPh>
    <phoneticPr fontId="1"/>
  </si>
  <si>
    <t>順位</t>
    <rPh sb="0" eb="2">
      <t>ジュンイ</t>
    </rPh>
    <phoneticPr fontId="1"/>
  </si>
  <si>
    <t>積算</t>
    <rPh sb="0" eb="2">
      <t>セキサン</t>
    </rPh>
    <phoneticPr fontId="1"/>
  </si>
  <si>
    <t>eng1</t>
    <phoneticPr fontId="1"/>
  </si>
  <si>
    <t>eng3</t>
  </si>
  <si>
    <t>集計日</t>
    <rPh sb="0" eb="2">
      <t>シュウケイ</t>
    </rPh>
    <rPh sb="2" eb="3">
      <t>ビ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</si>
</sst>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aaa"/>
    <numFmt numFmtId="177" formatCode="d"/>
    <numFmt numFmtId="178" formatCode="m"/>
    <numFmt numFmtId="179" formatCode="m/d;@"/>
  </numFmts>
  <fonts count="9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0"/>
      <color theme="1"/>
      <name val="メイリオ"/>
      <family val="3"/>
      <charset val="128"/>
    </font>
    <font>
      <b/>
      <sz val="10"/>
      <color theme="0"/>
      <name val="メイリオ"/>
      <family val="3"/>
      <charset val="128"/>
    </font>
    <font>
      <sz val="10"/>
      <color rgb="FF222222"/>
      <name val="メイリオ"/>
      <family val="3"/>
      <charset val="128"/>
    </font>
    <font>
      <sz val="12"/>
      <color theme="3"/>
      <name val="メイリオ"/>
      <family val="3"/>
      <charset val="128"/>
    </font>
    <font>
      <sz val="9"/>
      <color theme="1"/>
      <name val="メイリオ"/>
      <family val="3"/>
      <charset val="128"/>
    </font>
    <font>
      <sz val="9"/>
      <color rgb="FF222222"/>
      <name val="メイリオ"/>
      <family val="3"/>
      <charset val="128"/>
    </font>
    <font>
      <b/>
      <sz val="10"/>
      <color theme="1"/>
      <name val="メイリオ"/>
      <family val="3"/>
      <charset val="128"/>
    </font>
  </fonts>
  <fills count="16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CFF93"/>
        <bgColor indexed="64"/>
      </patternFill>
    </fill>
    <fill>
      <patternFill patternType="solid">
        <fgColor rgb="FF9296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8C8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808080"/>
      </left>
      <right/>
      <top style="thin">
        <color rgb="FF808080"/>
      </top>
      <bottom/>
      <diagonal/>
    </border>
    <border>
      <left/>
      <right/>
      <top style="thin">
        <color rgb="FF808080"/>
      </top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3">
    <xf numFmtId="0" fontId="0" fillId="0" borderId="0" xfId="0">
      <alignment vertical="center"/>
    </xf>
    <xf numFmtId="0" fontId="2" fillId="0" borderId="0" xfId="0" applyFont="1">
      <alignment vertical="center"/>
    </xf>
    <xf numFmtId="14" fontId="3" fillId="2" borderId="1" xfId="0" applyNumberFormat="1" applyFont="1" applyFill="1" applyBorder="1" applyAlignment="1">
      <alignment horizontal="center" vertical="center"/>
    </xf>
    <xf numFmtId="0" fontId="2" fillId="0" borderId="1" xfId="0" applyFont="1" applyBorder="1">
      <alignment vertical="center"/>
    </xf>
    <xf numFmtId="14" fontId="4" fillId="0" borderId="1" xfId="0" applyNumberFormat="1" applyFont="1" applyBorder="1" applyAlignment="1">
      <alignment horizontal="left" vertical="center"/>
    </xf>
    <xf numFmtId="176" fontId="2" fillId="0" borderId="0" xfId="0" applyNumberFormat="1" applyFont="1">
      <alignment vertical="center"/>
    </xf>
    <xf numFmtId="14" fontId="3" fillId="2" borderId="2" xfId="0" applyNumberFormat="1" applyFont="1" applyFill="1" applyBorder="1" applyAlignment="1">
      <alignment horizontal="center" vertical="center"/>
    </xf>
    <xf numFmtId="0" fontId="2" fillId="3" borderId="1" xfId="0" applyFont="1" applyFill="1" applyBorder="1">
      <alignment vertical="center"/>
    </xf>
    <xf numFmtId="0" fontId="2" fillId="4" borderId="1" xfId="0" applyFont="1" applyFill="1" applyBorder="1">
      <alignment vertical="center"/>
    </xf>
    <xf numFmtId="14" fontId="2" fillId="0" borderId="1" xfId="0" applyNumberFormat="1" applyFont="1" applyBorder="1">
      <alignment vertical="center"/>
    </xf>
    <xf numFmtId="0" fontId="2" fillId="0" borderId="0" xfId="0" applyFont="1" applyFill="1" applyBorder="1">
      <alignment vertical="center"/>
    </xf>
    <xf numFmtId="0" fontId="2" fillId="5" borderId="1" xfId="0" applyFont="1" applyFill="1" applyBorder="1">
      <alignment vertical="center"/>
    </xf>
    <xf numFmtId="0" fontId="2" fillId="6" borderId="1" xfId="0" applyFont="1" applyFill="1" applyBorder="1">
      <alignment vertical="center"/>
    </xf>
    <xf numFmtId="0" fontId="2" fillId="7" borderId="1" xfId="0" applyFont="1" applyFill="1" applyBorder="1">
      <alignment vertical="center"/>
    </xf>
    <xf numFmtId="0" fontId="2" fillId="8" borderId="1" xfId="0" applyFont="1" applyFill="1" applyBorder="1">
      <alignment vertical="center"/>
    </xf>
    <xf numFmtId="0" fontId="2" fillId="9" borderId="1" xfId="0" applyFont="1" applyFill="1" applyBorder="1">
      <alignment vertical="center"/>
    </xf>
    <xf numFmtId="0" fontId="2" fillId="10" borderId="1" xfId="0" applyFont="1" applyFill="1" applyBorder="1">
      <alignment vertical="center"/>
    </xf>
    <xf numFmtId="0" fontId="2" fillId="11" borderId="1" xfId="0" applyFont="1" applyFill="1" applyBorder="1">
      <alignment vertical="center"/>
    </xf>
    <xf numFmtId="0" fontId="2" fillId="12" borderId="1" xfId="0" applyFont="1" applyFill="1" applyBorder="1">
      <alignment vertical="center"/>
    </xf>
    <xf numFmtId="0" fontId="6" fillId="0" borderId="4" xfId="0" applyFont="1" applyBorder="1" applyAlignment="1">
      <alignment horizontal="center" vertical="center"/>
    </xf>
    <xf numFmtId="178" fontId="6" fillId="0" borderId="3" xfId="0" applyNumberFormat="1" applyFont="1" applyBorder="1" applyAlignment="1">
      <alignment horizontal="center" vertical="center"/>
    </xf>
    <xf numFmtId="176" fontId="6" fillId="0" borderId="5" xfId="0" applyNumberFormat="1" applyFont="1" applyBorder="1" applyAlignment="1">
      <alignment horizontal="center" vertical="center"/>
    </xf>
    <xf numFmtId="177" fontId="6" fillId="0" borderId="5" xfId="0" applyNumberFormat="1" applyFont="1" applyBorder="1" applyAlignment="1">
      <alignment horizontal="center" vertical="center"/>
    </xf>
    <xf numFmtId="177" fontId="6" fillId="0" borderId="5" xfId="0" applyNumberFormat="1" applyFont="1" applyFill="1" applyBorder="1" applyAlignment="1">
      <alignment horizontal="center" vertical="center"/>
    </xf>
    <xf numFmtId="14" fontId="8" fillId="14" borderId="1" xfId="0" applyNumberFormat="1" applyFont="1" applyFill="1" applyBorder="1" applyAlignment="1">
      <alignment horizontal="center" vertical="center"/>
    </xf>
    <xf numFmtId="0" fontId="8" fillId="14" borderId="1" xfId="0" applyFont="1" applyFill="1" applyBorder="1" applyAlignment="1">
      <alignment horizontal="center" vertical="center"/>
    </xf>
    <xf numFmtId="0" fontId="0" fillId="4" borderId="1" xfId="0" applyFill="1" applyBorder="1">
      <alignment vertical="center"/>
    </xf>
    <xf numFmtId="179" fontId="0" fillId="0" borderId="1" xfId="0" applyNumberFormat="1" applyBorder="1">
      <alignment vertical="center"/>
    </xf>
    <xf numFmtId="0" fontId="0" fillId="4" borderId="1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4" borderId="7" xfId="0" applyFill="1" applyBorder="1">
      <alignment vertical="center"/>
    </xf>
    <xf numFmtId="0" fontId="0" fillId="4" borderId="7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10" borderId="1" xfId="0" applyFill="1" applyBorder="1">
      <alignment vertical="center"/>
    </xf>
    <xf numFmtId="179" fontId="0" fillId="10" borderId="1" xfId="0" applyNumberFormat="1" applyFill="1" applyBorder="1">
      <alignment vertical="center"/>
    </xf>
    <xf numFmtId="0" fontId="6" fillId="15" borderId="6" xfId="0" applyFont="1" applyFill="1" applyBorder="1" applyAlignment="1">
      <alignment horizontal="center" vertical="center"/>
    </xf>
    <xf numFmtId="0" fontId="6" fillId="15" borderId="5" xfId="0" applyFont="1" applyFill="1" applyBorder="1" applyAlignment="1">
      <alignment horizontal="center" vertical="center"/>
    </xf>
    <xf numFmtId="0" fontId="6" fillId="13" borderId="6" xfId="0" applyFont="1" applyFill="1" applyBorder="1" applyAlignment="1">
      <alignment horizontal="center" vertical="center"/>
    </xf>
    <xf numFmtId="0" fontId="6" fillId="13" borderId="5" xfId="0" applyFont="1" applyFill="1" applyBorder="1" applyAlignment="1">
      <alignment horizontal="center" vertical="center"/>
    </xf>
    <xf numFmtId="14" fontId="7" fillId="13" borderId="1" xfId="0" applyNumberFormat="1" applyFont="1" applyFill="1" applyBorder="1" applyAlignment="1">
      <alignment vertical="center" wrapText="1"/>
    </xf>
    <xf numFmtId="0" fontId="7" fillId="13" borderId="1" xfId="0" applyFont="1" applyFill="1" applyBorder="1" applyAlignment="1">
      <alignment vertical="center" wrapText="1"/>
    </xf>
    <xf numFmtId="14" fontId="5" fillId="0" borderId="1" xfId="0" applyNumberFormat="1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CCFF"/>
      <color rgb="FF929600"/>
      <color rgb="FFFCFF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630381</xdr:colOff>
          <xdr:row>0</xdr:row>
          <xdr:rowOff>106796</xdr:rowOff>
        </xdr:from>
        <xdr:to>
          <xdr:col>16</xdr:col>
          <xdr:colOff>323273</xdr:colOff>
          <xdr:row>0</xdr:row>
          <xdr:rowOff>317500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ガントチャート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9237</xdr:colOff>
          <xdr:row>0</xdr:row>
          <xdr:rowOff>101600</xdr:rowOff>
        </xdr:from>
        <xdr:to>
          <xdr:col>14</xdr:col>
          <xdr:colOff>34637</xdr:colOff>
          <xdr:row>0</xdr:row>
          <xdr:rowOff>305955</xdr:rowOff>
        </xdr:to>
        <xdr:sp macro="" textlink="">
          <xdr:nvSpPr>
            <xdr:cNvPr id="1036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順位算出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146050</xdr:colOff>
          <xdr:row>0</xdr:row>
          <xdr:rowOff>76200</xdr:rowOff>
        </xdr:from>
        <xdr:to>
          <xdr:col>20</xdr:col>
          <xdr:colOff>215900</xdr:colOff>
          <xdr:row>0</xdr:row>
          <xdr:rowOff>275359</xdr:rowOff>
        </xdr:to>
        <xdr:sp macro="" textlink="">
          <xdr:nvSpPr>
            <xdr:cNvPr id="1047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色分け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183573</xdr:colOff>
          <xdr:row>0</xdr:row>
          <xdr:rowOff>78510</xdr:rowOff>
        </xdr:from>
        <xdr:to>
          <xdr:col>4</xdr:col>
          <xdr:colOff>386774</xdr:colOff>
          <xdr:row>0</xdr:row>
          <xdr:rowOff>288636</xdr:rowOff>
        </xdr:to>
        <xdr:sp macro="" textlink="">
          <xdr:nvSpPr>
            <xdr:cNvPr id="1048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計画策定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111125</xdr:colOff>
      <xdr:row>4</xdr:row>
      <xdr:rowOff>92075</xdr:rowOff>
    </xdr:from>
    <xdr:to>
      <xdr:col>26</xdr:col>
      <xdr:colOff>111125</xdr:colOff>
      <xdr:row>5</xdr:row>
      <xdr:rowOff>92075</xdr:rowOff>
    </xdr:to>
    <xdr:cxnSp macro="">
      <xdr:nvCxnSpPr>
        <xdr:cNvPr id="1171" name="直線コネクタ 1170"/>
        <xdr:cNvCxnSpPr/>
      </xdr:nvCxnSpPr>
      <xdr:spPr>
        <a:xfrm>
          <a:off x="7953375" y="1006475"/>
          <a:ext cx="222250" cy="184150"/>
        </a:xfrm>
        <a:prstGeom prst="line">
          <a:avLst/>
        </a:prstGeom>
        <a:ln w="25400">
          <a:solidFill>
            <a:srgbClr val="FF0000"/>
          </a:solidFill>
          <a:prstDash val="sysDot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111125</xdr:colOff>
      <xdr:row>5</xdr:row>
      <xdr:rowOff>92075</xdr:rowOff>
    </xdr:from>
    <xdr:to>
      <xdr:col>26</xdr:col>
      <xdr:colOff>111125</xdr:colOff>
      <xdr:row>6</xdr:row>
      <xdr:rowOff>92075</xdr:rowOff>
    </xdr:to>
    <xdr:cxnSp macro="">
      <xdr:nvCxnSpPr>
        <xdr:cNvPr id="1172" name="直線コネクタ 1171"/>
        <xdr:cNvCxnSpPr/>
      </xdr:nvCxnSpPr>
      <xdr:spPr>
        <a:xfrm>
          <a:off x="8175625" y="1190625"/>
          <a:ext cx="0" cy="184150"/>
        </a:xfrm>
        <a:prstGeom prst="line">
          <a:avLst/>
        </a:prstGeom>
        <a:ln w="25400">
          <a:solidFill>
            <a:srgbClr val="FF0000"/>
          </a:solidFill>
          <a:prstDash val="sysDot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0</xdr:colOff>
      <xdr:row>6</xdr:row>
      <xdr:rowOff>92075</xdr:rowOff>
    </xdr:from>
    <xdr:to>
      <xdr:col>26</xdr:col>
      <xdr:colOff>111125</xdr:colOff>
      <xdr:row>7</xdr:row>
      <xdr:rowOff>92075</xdr:rowOff>
    </xdr:to>
    <xdr:cxnSp macro="">
      <xdr:nvCxnSpPr>
        <xdr:cNvPr id="1173" name="直線コネクタ 1172"/>
        <xdr:cNvCxnSpPr/>
      </xdr:nvCxnSpPr>
      <xdr:spPr>
        <a:xfrm flipH="1">
          <a:off x="8064500" y="1374775"/>
          <a:ext cx="111125" cy="184150"/>
        </a:xfrm>
        <a:prstGeom prst="line">
          <a:avLst/>
        </a:prstGeom>
        <a:ln w="25400">
          <a:solidFill>
            <a:srgbClr val="FF0000"/>
          </a:solidFill>
          <a:prstDash val="sysDot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0</xdr:colOff>
      <xdr:row>7</xdr:row>
      <xdr:rowOff>92075</xdr:rowOff>
    </xdr:from>
    <xdr:to>
      <xdr:col>27</xdr:col>
      <xdr:colOff>0</xdr:colOff>
      <xdr:row>8</xdr:row>
      <xdr:rowOff>92075</xdr:rowOff>
    </xdr:to>
    <xdr:cxnSp macro="">
      <xdr:nvCxnSpPr>
        <xdr:cNvPr id="1174" name="直線コネクタ 1173"/>
        <xdr:cNvCxnSpPr/>
      </xdr:nvCxnSpPr>
      <xdr:spPr>
        <a:xfrm>
          <a:off x="8064500" y="1558925"/>
          <a:ext cx="222250" cy="184150"/>
        </a:xfrm>
        <a:prstGeom prst="line">
          <a:avLst/>
        </a:prstGeom>
        <a:ln w="25400">
          <a:solidFill>
            <a:srgbClr val="FF0000"/>
          </a:solidFill>
          <a:prstDash val="sysDot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0</xdr:colOff>
      <xdr:row>8</xdr:row>
      <xdr:rowOff>92075</xdr:rowOff>
    </xdr:from>
    <xdr:to>
      <xdr:col>27</xdr:col>
      <xdr:colOff>0</xdr:colOff>
      <xdr:row>9</xdr:row>
      <xdr:rowOff>92075</xdr:rowOff>
    </xdr:to>
    <xdr:cxnSp macro="">
      <xdr:nvCxnSpPr>
        <xdr:cNvPr id="1175" name="直線コネクタ 1174"/>
        <xdr:cNvCxnSpPr/>
      </xdr:nvCxnSpPr>
      <xdr:spPr>
        <a:xfrm>
          <a:off x="8286750" y="1743075"/>
          <a:ext cx="0" cy="184150"/>
        </a:xfrm>
        <a:prstGeom prst="line">
          <a:avLst/>
        </a:prstGeom>
        <a:ln w="25400">
          <a:solidFill>
            <a:srgbClr val="FF0000"/>
          </a:solidFill>
          <a:prstDash val="sysDot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0</xdr:colOff>
      <xdr:row>9</xdr:row>
      <xdr:rowOff>92075</xdr:rowOff>
    </xdr:from>
    <xdr:to>
      <xdr:col>27</xdr:col>
      <xdr:colOff>0</xdr:colOff>
      <xdr:row>10</xdr:row>
      <xdr:rowOff>92075</xdr:rowOff>
    </xdr:to>
    <xdr:cxnSp macro="">
      <xdr:nvCxnSpPr>
        <xdr:cNvPr id="1176" name="直線コネクタ 1175"/>
        <xdr:cNvCxnSpPr/>
      </xdr:nvCxnSpPr>
      <xdr:spPr>
        <a:xfrm>
          <a:off x="8286750" y="1927225"/>
          <a:ext cx="0" cy="184150"/>
        </a:xfrm>
        <a:prstGeom prst="line">
          <a:avLst/>
        </a:prstGeom>
        <a:ln w="25400">
          <a:solidFill>
            <a:srgbClr val="FF0000"/>
          </a:solidFill>
          <a:prstDash val="sysDot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111125</xdr:colOff>
      <xdr:row>10</xdr:row>
      <xdr:rowOff>92075</xdr:rowOff>
    </xdr:from>
    <xdr:to>
      <xdr:col>27</xdr:col>
      <xdr:colOff>0</xdr:colOff>
      <xdr:row>11</xdr:row>
      <xdr:rowOff>92075</xdr:rowOff>
    </xdr:to>
    <xdr:cxnSp macro="">
      <xdr:nvCxnSpPr>
        <xdr:cNvPr id="1177" name="直線コネクタ 1176"/>
        <xdr:cNvCxnSpPr/>
      </xdr:nvCxnSpPr>
      <xdr:spPr>
        <a:xfrm flipH="1">
          <a:off x="7731125" y="2111375"/>
          <a:ext cx="555625" cy="184150"/>
        </a:xfrm>
        <a:prstGeom prst="line">
          <a:avLst/>
        </a:prstGeom>
        <a:ln w="25400">
          <a:solidFill>
            <a:srgbClr val="FF0000"/>
          </a:solidFill>
          <a:prstDash val="sysDot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hinya%20Honke\Downloads\2019-2022Calenda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19"/>
      <sheetName val="2020"/>
      <sheetName val="2021"/>
      <sheetName val="2022"/>
      <sheetName val="HOL"/>
    </sheetNames>
    <sheetDataSet>
      <sheetData sheetId="0"/>
      <sheetData sheetId="1"/>
      <sheetData sheetId="2"/>
      <sheetData sheetId="3"/>
      <sheetData sheetId="4">
        <row r="2">
          <cell r="A2">
            <v>43466</v>
          </cell>
        </row>
        <row r="3">
          <cell r="A3">
            <v>43479</v>
          </cell>
        </row>
        <row r="4">
          <cell r="A4">
            <v>43507</v>
          </cell>
        </row>
        <row r="5">
          <cell r="A5">
            <v>43545</v>
          </cell>
        </row>
        <row r="6">
          <cell r="A6">
            <v>43584</v>
          </cell>
        </row>
        <row r="7">
          <cell r="A7">
            <v>43585</v>
          </cell>
        </row>
        <row r="8">
          <cell r="A8">
            <v>43586</v>
          </cell>
        </row>
        <row r="9">
          <cell r="A9">
            <v>43587</v>
          </cell>
        </row>
        <row r="10">
          <cell r="A10">
            <v>43588</v>
          </cell>
        </row>
        <row r="11">
          <cell r="A11">
            <v>43589</v>
          </cell>
        </row>
        <row r="12">
          <cell r="A12">
            <v>43590</v>
          </cell>
        </row>
        <row r="13">
          <cell r="A13">
            <v>43591</v>
          </cell>
        </row>
        <row r="14">
          <cell r="A14">
            <v>43661</v>
          </cell>
        </row>
        <row r="15">
          <cell r="A15">
            <v>43688</v>
          </cell>
        </row>
        <row r="16">
          <cell r="A16">
            <v>43689</v>
          </cell>
        </row>
        <row r="17">
          <cell r="A17">
            <v>43724</v>
          </cell>
        </row>
        <row r="18">
          <cell r="A18">
            <v>43731</v>
          </cell>
        </row>
        <row r="19">
          <cell r="A19">
            <v>43752</v>
          </cell>
        </row>
        <row r="20">
          <cell r="A20">
            <v>43760</v>
          </cell>
        </row>
        <row r="21">
          <cell r="A21">
            <v>43772</v>
          </cell>
        </row>
        <row r="22">
          <cell r="A22">
            <v>43773</v>
          </cell>
        </row>
        <row r="23">
          <cell r="A23">
            <v>43792</v>
          </cell>
        </row>
        <row r="24">
          <cell r="A24">
            <v>43831</v>
          </cell>
        </row>
        <row r="25">
          <cell r="A25">
            <v>43843</v>
          </cell>
        </row>
        <row r="26">
          <cell r="A26">
            <v>43872</v>
          </cell>
        </row>
        <row r="27">
          <cell r="A27">
            <v>43884</v>
          </cell>
        </row>
        <row r="28">
          <cell r="A28">
            <v>43885</v>
          </cell>
        </row>
        <row r="29">
          <cell r="A29">
            <v>43910</v>
          </cell>
        </row>
        <row r="30">
          <cell r="A30">
            <v>43950</v>
          </cell>
        </row>
        <row r="31">
          <cell r="A31">
            <v>43954</v>
          </cell>
        </row>
        <row r="32">
          <cell r="A32">
            <v>43955</v>
          </cell>
        </row>
        <row r="33">
          <cell r="A33">
            <v>43956</v>
          </cell>
        </row>
        <row r="34">
          <cell r="A34">
            <v>43957</v>
          </cell>
        </row>
        <row r="35">
          <cell r="A35">
            <v>44035</v>
          </cell>
        </row>
        <row r="36">
          <cell r="A36">
            <v>44036</v>
          </cell>
        </row>
        <row r="37">
          <cell r="A37">
            <v>44053</v>
          </cell>
        </row>
        <row r="38">
          <cell r="A38">
            <v>44095</v>
          </cell>
        </row>
        <row r="39">
          <cell r="A39">
            <v>44096</v>
          </cell>
        </row>
        <row r="40">
          <cell r="A40">
            <v>44138</v>
          </cell>
        </row>
        <row r="41">
          <cell r="A41">
            <v>44158</v>
          </cell>
        </row>
        <row r="42">
          <cell r="A42">
            <v>44197</v>
          </cell>
        </row>
        <row r="43">
          <cell r="A43">
            <v>44207</v>
          </cell>
        </row>
        <row r="44">
          <cell r="A44">
            <v>44238</v>
          </cell>
        </row>
        <row r="45">
          <cell r="A45">
            <v>44250</v>
          </cell>
        </row>
        <row r="46">
          <cell r="A46">
            <v>44275</v>
          </cell>
        </row>
        <row r="47">
          <cell r="A47">
            <v>44315</v>
          </cell>
        </row>
        <row r="48">
          <cell r="A48">
            <v>44319</v>
          </cell>
        </row>
        <row r="49">
          <cell r="A49">
            <v>44320</v>
          </cell>
        </row>
        <row r="50">
          <cell r="A50">
            <v>44321</v>
          </cell>
        </row>
        <row r="51">
          <cell r="A51">
            <v>44396</v>
          </cell>
        </row>
        <row r="52">
          <cell r="A52">
            <v>44419</v>
          </cell>
        </row>
        <row r="53">
          <cell r="A53">
            <v>44459</v>
          </cell>
        </row>
        <row r="54">
          <cell r="A54">
            <v>44462</v>
          </cell>
        </row>
        <row r="55">
          <cell r="A55">
            <v>44480</v>
          </cell>
        </row>
        <row r="56">
          <cell r="A56">
            <v>44503</v>
          </cell>
        </row>
        <row r="57">
          <cell r="A57">
            <v>44523</v>
          </cell>
        </row>
        <row r="58">
          <cell r="A58">
            <v>44562</v>
          </cell>
        </row>
        <row r="59">
          <cell r="A59">
            <v>44571</v>
          </cell>
        </row>
        <row r="60">
          <cell r="A60">
            <v>44603</v>
          </cell>
        </row>
        <row r="61">
          <cell r="A61">
            <v>44615</v>
          </cell>
        </row>
        <row r="62">
          <cell r="A62">
            <v>44641</v>
          </cell>
        </row>
        <row r="63">
          <cell r="A63">
            <v>44680</v>
          </cell>
        </row>
        <row r="64">
          <cell r="A64">
            <v>44684</v>
          </cell>
        </row>
        <row r="65">
          <cell r="A65">
            <v>44685</v>
          </cell>
        </row>
        <row r="66">
          <cell r="A66">
            <v>44686</v>
          </cell>
        </row>
        <row r="67">
          <cell r="A67">
            <v>44760</v>
          </cell>
        </row>
        <row r="68">
          <cell r="A68">
            <v>44784</v>
          </cell>
        </row>
        <row r="69">
          <cell r="A69">
            <v>44823</v>
          </cell>
        </row>
        <row r="70">
          <cell r="A70">
            <v>44827</v>
          </cell>
        </row>
        <row r="71">
          <cell r="A71">
            <v>44844</v>
          </cell>
        </row>
        <row r="72">
          <cell r="A72">
            <v>44868</v>
          </cell>
        </row>
        <row r="73">
          <cell r="A73">
            <v>44888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AF25"/>
  <sheetViews>
    <sheetView tabSelected="1" zoomScale="110" zoomScaleNormal="110" workbookViewId="0"/>
  </sheetViews>
  <sheetFormatPr defaultColWidth="3.1796875" defaultRowHeight="13" outlineLevelCol="1" x14ac:dyDescent="0.2"/>
  <cols>
    <col min="1" max="1" width="1.26953125" customWidth="1"/>
    <col min="2" max="3" width="8.54296875" hidden="1" customWidth="1" outlineLevel="1"/>
    <col min="4" max="4" width="7.08984375" customWidth="1" collapsed="1"/>
    <col min="5" max="7" width="7.08984375" customWidth="1"/>
    <col min="11" max="12" width="5.6328125" customWidth="1"/>
    <col min="13" max="14" width="4.453125" customWidth="1"/>
    <col min="15" max="15" width="14.36328125" customWidth="1"/>
    <col min="16" max="16" width="6.08984375" customWidth="1"/>
    <col min="17" max="17" width="7.36328125" customWidth="1"/>
    <col min="18" max="19" width="3" customWidth="1"/>
  </cols>
  <sheetData>
    <row r="1" spans="2:32" ht="28.5" customHeight="1" x14ac:dyDescent="0.2"/>
    <row r="2" spans="2:32" ht="14.5" x14ac:dyDescent="0.2">
      <c r="D2" s="26" t="s">
        <v>45</v>
      </c>
      <c r="E2" s="35">
        <v>44317</v>
      </c>
      <c r="F2" s="26" t="s">
        <v>55</v>
      </c>
      <c r="G2" s="35">
        <v>44319</v>
      </c>
      <c r="R2" s="20">
        <f>R3</f>
        <v>44310</v>
      </c>
      <c r="S2" s="19"/>
      <c r="T2" s="19"/>
      <c r="U2" s="19"/>
      <c r="V2" s="19"/>
      <c r="W2" s="19"/>
      <c r="X2" s="19"/>
      <c r="Y2" s="20">
        <f>Y3</f>
        <v>44317</v>
      </c>
      <c r="Z2" s="19"/>
      <c r="AA2" s="19"/>
      <c r="AB2" s="19"/>
      <c r="AC2" s="19"/>
      <c r="AD2" s="19"/>
      <c r="AE2" s="19"/>
      <c r="AF2" s="19"/>
    </row>
    <row r="3" spans="2:32" ht="14.5" x14ac:dyDescent="0.2">
      <c r="D3" s="29" t="s">
        <v>10</v>
      </c>
      <c r="E3" s="29"/>
      <c r="F3" s="28" t="s">
        <v>11</v>
      </c>
      <c r="G3" s="28"/>
      <c r="H3" s="32" t="s">
        <v>4</v>
      </c>
      <c r="I3" s="28"/>
      <c r="J3" s="28"/>
      <c r="K3" s="33" t="s">
        <v>40</v>
      </c>
      <c r="L3" s="32"/>
      <c r="M3" s="28" t="s">
        <v>49</v>
      </c>
      <c r="N3" s="28"/>
      <c r="R3" s="23">
        <v>44310</v>
      </c>
      <c r="S3" s="22">
        <f>R3+1</f>
        <v>44311</v>
      </c>
      <c r="T3" s="22">
        <f t="shared" ref="T3:AF3" si="0">S3+1</f>
        <v>44312</v>
      </c>
      <c r="U3" s="22">
        <f t="shared" si="0"/>
        <v>44313</v>
      </c>
      <c r="V3" s="22">
        <f t="shared" si="0"/>
        <v>44314</v>
      </c>
      <c r="W3" s="22">
        <f t="shared" si="0"/>
        <v>44315</v>
      </c>
      <c r="X3" s="22">
        <f t="shared" si="0"/>
        <v>44316</v>
      </c>
      <c r="Y3" s="22">
        <f t="shared" si="0"/>
        <v>44317</v>
      </c>
      <c r="Z3" s="22">
        <f t="shared" si="0"/>
        <v>44318</v>
      </c>
      <c r="AA3" s="22">
        <f t="shared" si="0"/>
        <v>44319</v>
      </c>
      <c r="AB3" s="22">
        <f t="shared" si="0"/>
        <v>44320</v>
      </c>
      <c r="AC3" s="22">
        <f t="shared" si="0"/>
        <v>44321</v>
      </c>
      <c r="AD3" s="22">
        <f t="shared" si="0"/>
        <v>44322</v>
      </c>
      <c r="AE3" s="22">
        <f t="shared" si="0"/>
        <v>44323</v>
      </c>
      <c r="AF3" s="22">
        <f t="shared" si="0"/>
        <v>44324</v>
      </c>
    </row>
    <row r="4" spans="2:32" ht="14.5" x14ac:dyDescent="0.2">
      <c r="B4" s="26" t="s">
        <v>9</v>
      </c>
      <c r="C4" s="26" t="s">
        <v>8</v>
      </c>
      <c r="D4" s="26" t="s">
        <v>1</v>
      </c>
      <c r="E4" s="26" t="s">
        <v>2</v>
      </c>
      <c r="F4" s="26" t="s">
        <v>1</v>
      </c>
      <c r="G4" s="26" t="s">
        <v>2</v>
      </c>
      <c r="H4" s="26" t="s">
        <v>5</v>
      </c>
      <c r="I4" s="26" t="s">
        <v>6</v>
      </c>
      <c r="J4" s="26" t="s">
        <v>7</v>
      </c>
      <c r="K4" s="31" t="s">
        <v>46</v>
      </c>
      <c r="L4" s="31" t="s">
        <v>52</v>
      </c>
      <c r="M4" s="26" t="s">
        <v>50</v>
      </c>
      <c r="N4" s="26" t="s">
        <v>51</v>
      </c>
      <c r="O4" s="26" t="s">
        <v>0</v>
      </c>
      <c r="P4" s="26" t="s">
        <v>12</v>
      </c>
      <c r="Q4" s="26" t="s">
        <v>3</v>
      </c>
      <c r="R4" s="21">
        <f>R3</f>
        <v>44310</v>
      </c>
      <c r="S4" s="21">
        <f>S3</f>
        <v>44311</v>
      </c>
      <c r="T4" s="21">
        <f t="shared" ref="T4:AF4" si="1">T3</f>
        <v>44312</v>
      </c>
      <c r="U4" s="21">
        <f t="shared" si="1"/>
        <v>44313</v>
      </c>
      <c r="V4" s="21">
        <f t="shared" si="1"/>
        <v>44314</v>
      </c>
      <c r="W4" s="21">
        <f t="shared" si="1"/>
        <v>44315</v>
      </c>
      <c r="X4" s="21">
        <f t="shared" si="1"/>
        <v>44316</v>
      </c>
      <c r="Y4" s="21">
        <f t="shared" si="1"/>
        <v>44317</v>
      </c>
      <c r="Z4" s="21">
        <f t="shared" si="1"/>
        <v>44318</v>
      </c>
      <c r="AA4" s="21">
        <f t="shared" si="1"/>
        <v>44319</v>
      </c>
      <c r="AB4" s="21">
        <f t="shared" si="1"/>
        <v>44320</v>
      </c>
      <c r="AC4" s="21">
        <f t="shared" si="1"/>
        <v>44321</v>
      </c>
      <c r="AD4" s="21">
        <f t="shared" si="1"/>
        <v>44322</v>
      </c>
      <c r="AE4" s="21">
        <f t="shared" si="1"/>
        <v>44323</v>
      </c>
      <c r="AF4" s="21">
        <f t="shared" si="1"/>
        <v>44324</v>
      </c>
    </row>
    <row r="5" spans="2:32" ht="14.5" x14ac:dyDescent="0.2">
      <c r="B5" s="30"/>
      <c r="C5" s="30"/>
      <c r="D5" s="27">
        <v>44317</v>
      </c>
      <c r="E5" s="27">
        <v>44319.8</v>
      </c>
      <c r="F5" s="30"/>
      <c r="G5" s="30"/>
      <c r="H5" s="30">
        <v>1</v>
      </c>
      <c r="I5" s="30">
        <v>1</v>
      </c>
      <c r="J5" s="30">
        <v>1</v>
      </c>
      <c r="K5" s="34">
        <v>0.2</v>
      </c>
      <c r="L5" s="30">
        <v>0.2</v>
      </c>
      <c r="M5" s="34">
        <v>1</v>
      </c>
      <c r="N5" s="30">
        <v>1</v>
      </c>
      <c r="O5" s="34" t="str">
        <f t="shared" ref="O5:O12" si="2">"task"&amp;(ROW())</f>
        <v>task5</v>
      </c>
      <c r="P5" s="34" t="s">
        <v>39</v>
      </c>
      <c r="Q5" s="34">
        <v>50</v>
      </c>
      <c r="R5" s="36"/>
      <c r="S5" s="37"/>
      <c r="T5" s="39"/>
      <c r="U5" s="39"/>
      <c r="V5" s="39"/>
      <c r="W5" s="37"/>
      <c r="X5" s="39"/>
      <c r="Y5" s="37"/>
      <c r="Z5" s="37"/>
      <c r="AA5" s="39"/>
      <c r="AB5" s="39"/>
      <c r="AC5" s="37"/>
      <c r="AD5" s="39"/>
      <c r="AE5" s="39"/>
      <c r="AF5" s="37"/>
    </row>
    <row r="6" spans="2:32" ht="14.5" x14ac:dyDescent="0.2">
      <c r="B6" s="30"/>
      <c r="C6" s="30"/>
      <c r="D6" s="27">
        <v>44319.8</v>
      </c>
      <c r="E6" s="27">
        <v>44319.8</v>
      </c>
      <c r="F6" s="30"/>
      <c r="G6" s="30"/>
      <c r="H6" s="30"/>
      <c r="I6" s="30"/>
      <c r="J6" s="30">
        <v>2</v>
      </c>
      <c r="K6" s="34">
        <v>0.2</v>
      </c>
      <c r="L6" s="30">
        <v>0.4</v>
      </c>
      <c r="M6" s="34">
        <v>1</v>
      </c>
      <c r="N6" s="30">
        <v>2</v>
      </c>
      <c r="O6" s="34" t="str">
        <f t="shared" si="2"/>
        <v>task6</v>
      </c>
      <c r="P6" s="34" t="s">
        <v>39</v>
      </c>
      <c r="Q6" s="34">
        <v>50</v>
      </c>
      <c r="R6" s="37"/>
      <c r="S6" s="37"/>
      <c r="T6" s="39"/>
      <c r="U6" s="39"/>
      <c r="V6" s="39"/>
      <c r="W6" s="37"/>
      <c r="X6" s="39"/>
      <c r="Y6" s="37"/>
      <c r="Z6" s="37"/>
      <c r="AA6" s="39"/>
      <c r="AB6" s="39"/>
      <c r="AC6" s="37"/>
      <c r="AD6" s="39"/>
      <c r="AE6" s="39"/>
      <c r="AF6" s="37"/>
    </row>
    <row r="7" spans="2:32" ht="14.5" x14ac:dyDescent="0.2">
      <c r="B7" s="30"/>
      <c r="C7" s="30"/>
      <c r="D7" s="27">
        <v>44319.8</v>
      </c>
      <c r="E7" s="27">
        <v>44319.8</v>
      </c>
      <c r="F7" s="30"/>
      <c r="G7" s="30"/>
      <c r="H7" s="30"/>
      <c r="I7" s="30"/>
      <c r="J7" s="30">
        <v>3</v>
      </c>
      <c r="K7" s="34">
        <v>0.2</v>
      </c>
      <c r="L7" s="30">
        <v>0.60000000000000009</v>
      </c>
      <c r="M7" s="34">
        <v>1</v>
      </c>
      <c r="N7" s="30">
        <v>3</v>
      </c>
      <c r="O7" s="34" t="str">
        <f t="shared" si="2"/>
        <v>task7</v>
      </c>
      <c r="P7" s="34" t="s">
        <v>39</v>
      </c>
      <c r="Q7" s="34">
        <v>50</v>
      </c>
      <c r="R7" s="37"/>
      <c r="S7" s="37"/>
      <c r="T7" s="39"/>
      <c r="U7" s="39"/>
      <c r="V7" s="39"/>
      <c r="W7" s="37"/>
      <c r="X7" s="39"/>
      <c r="Y7" s="37"/>
      <c r="Z7" s="37"/>
      <c r="AA7" s="39"/>
      <c r="AB7" s="39"/>
      <c r="AC7" s="37"/>
      <c r="AD7" s="39"/>
      <c r="AE7" s="39"/>
      <c r="AF7" s="37"/>
    </row>
    <row r="8" spans="2:32" ht="14.5" x14ac:dyDescent="0.2">
      <c r="B8" s="30"/>
      <c r="C8" s="30"/>
      <c r="D8" s="27">
        <v>44319.8</v>
      </c>
      <c r="E8" s="27">
        <v>44319.8</v>
      </c>
      <c r="F8" s="30"/>
      <c r="G8" s="30"/>
      <c r="H8" s="30"/>
      <c r="I8" s="30"/>
      <c r="J8" s="30">
        <v>4</v>
      </c>
      <c r="K8" s="34">
        <v>0.2</v>
      </c>
      <c r="L8" s="30">
        <v>0.8</v>
      </c>
      <c r="M8" s="34">
        <v>1</v>
      </c>
      <c r="N8" s="30">
        <v>4</v>
      </c>
      <c r="O8" s="34" t="str">
        <f t="shared" si="2"/>
        <v>task8</v>
      </c>
      <c r="P8" s="34" t="s">
        <v>39</v>
      </c>
      <c r="Q8" s="34">
        <v>0</v>
      </c>
      <c r="R8" s="37"/>
      <c r="S8" s="37"/>
      <c r="T8" s="39"/>
      <c r="U8" s="39"/>
      <c r="V8" s="39"/>
      <c r="W8" s="37"/>
      <c r="X8" s="39"/>
      <c r="Y8" s="37"/>
      <c r="Z8" s="37"/>
      <c r="AA8" s="39"/>
      <c r="AB8" s="39"/>
      <c r="AC8" s="37"/>
      <c r="AD8" s="39"/>
      <c r="AE8" s="39"/>
      <c r="AF8" s="37"/>
    </row>
    <row r="9" spans="2:32" ht="14.5" x14ac:dyDescent="0.2">
      <c r="B9" s="30"/>
      <c r="C9" s="30"/>
      <c r="D9" s="27">
        <v>44319.8</v>
      </c>
      <c r="E9" s="27">
        <v>44319.8</v>
      </c>
      <c r="F9" s="30"/>
      <c r="G9" s="30"/>
      <c r="H9" s="30"/>
      <c r="I9" s="30"/>
      <c r="J9" s="30">
        <v>5</v>
      </c>
      <c r="K9" s="34">
        <v>0.2</v>
      </c>
      <c r="L9" s="30">
        <v>1</v>
      </c>
      <c r="M9" s="34">
        <v>1</v>
      </c>
      <c r="N9" s="30">
        <v>5</v>
      </c>
      <c r="O9" s="34" t="str">
        <f t="shared" si="2"/>
        <v>task9</v>
      </c>
      <c r="P9" s="34" t="s">
        <v>39</v>
      </c>
      <c r="Q9" s="34">
        <v>100</v>
      </c>
      <c r="R9" s="37"/>
      <c r="S9" s="37"/>
      <c r="T9" s="39"/>
      <c r="U9" s="39"/>
      <c r="V9" s="39"/>
      <c r="W9" s="37"/>
      <c r="X9" s="39"/>
      <c r="Y9" s="37"/>
      <c r="Z9" s="37"/>
      <c r="AA9" s="39"/>
      <c r="AB9" s="39"/>
      <c r="AC9" s="37"/>
      <c r="AD9" s="39"/>
      <c r="AE9" s="39"/>
      <c r="AF9" s="37"/>
    </row>
    <row r="10" spans="2:32" ht="14.5" x14ac:dyDescent="0.2">
      <c r="B10" s="30"/>
      <c r="C10" s="30"/>
      <c r="D10" s="27">
        <v>44317</v>
      </c>
      <c r="E10" s="27">
        <v>44317.8</v>
      </c>
      <c r="F10" s="30"/>
      <c r="G10" s="30"/>
      <c r="H10" s="30"/>
      <c r="I10" s="30"/>
      <c r="J10" s="30">
        <v>6</v>
      </c>
      <c r="K10" s="34">
        <v>0.2</v>
      </c>
      <c r="L10" s="30">
        <v>0.2</v>
      </c>
      <c r="M10" s="34">
        <v>2</v>
      </c>
      <c r="N10" s="30">
        <v>1</v>
      </c>
      <c r="O10" s="34" t="str">
        <f t="shared" si="2"/>
        <v>task10</v>
      </c>
      <c r="P10" s="34" t="s">
        <v>54</v>
      </c>
      <c r="Q10" s="34">
        <v>100</v>
      </c>
      <c r="R10" s="39"/>
      <c r="S10" s="39"/>
      <c r="T10" s="37"/>
      <c r="U10" s="39"/>
      <c r="V10" s="39"/>
      <c r="W10" s="37"/>
      <c r="X10" s="39"/>
      <c r="Y10" s="39"/>
      <c r="Z10" s="39"/>
      <c r="AA10" s="37"/>
      <c r="AB10" s="37"/>
      <c r="AC10" s="37"/>
      <c r="AD10" s="39"/>
      <c r="AE10" s="39"/>
      <c r="AF10" s="39"/>
    </row>
    <row r="11" spans="2:32" ht="14.5" x14ac:dyDescent="0.2">
      <c r="B11" s="30"/>
      <c r="C11" s="30"/>
      <c r="D11" s="27">
        <v>44317.8</v>
      </c>
      <c r="E11" s="27">
        <v>44317.8</v>
      </c>
      <c r="F11" s="30"/>
      <c r="G11" s="30"/>
      <c r="H11" s="30"/>
      <c r="I11" s="30"/>
      <c r="J11" s="30">
        <v>7</v>
      </c>
      <c r="K11" s="34">
        <v>0.2</v>
      </c>
      <c r="L11" s="30">
        <v>0.4</v>
      </c>
      <c r="M11" s="34">
        <v>3</v>
      </c>
      <c r="N11" s="30">
        <v>2</v>
      </c>
      <c r="O11" s="34" t="str">
        <f t="shared" si="2"/>
        <v>task11</v>
      </c>
      <c r="P11" s="34" t="s">
        <v>54</v>
      </c>
      <c r="Q11" s="34">
        <v>100</v>
      </c>
      <c r="R11" s="39"/>
      <c r="S11" s="39"/>
      <c r="T11" s="37"/>
      <c r="U11" s="39"/>
      <c r="V11" s="39"/>
      <c r="W11" s="37"/>
      <c r="X11" s="39"/>
      <c r="Y11" s="39"/>
      <c r="Z11" s="39"/>
      <c r="AA11" s="37"/>
      <c r="AB11" s="37"/>
      <c r="AC11" s="37"/>
      <c r="AD11" s="39"/>
      <c r="AE11" s="39"/>
      <c r="AF11" s="39"/>
    </row>
    <row r="12" spans="2:32" ht="14.5" x14ac:dyDescent="0.2">
      <c r="B12" s="30"/>
      <c r="C12" s="30"/>
      <c r="D12" s="27">
        <v>44317.8</v>
      </c>
      <c r="E12" s="27">
        <v>44317.8</v>
      </c>
      <c r="F12" s="30"/>
      <c r="G12" s="30"/>
      <c r="H12" s="30"/>
      <c r="I12" s="30"/>
      <c r="J12" s="30">
        <v>8</v>
      </c>
      <c r="K12" s="34">
        <v>0.2</v>
      </c>
      <c r="L12" s="30">
        <v>0.60000000000000009</v>
      </c>
      <c r="M12" s="34">
        <v>3</v>
      </c>
      <c r="N12" s="30">
        <v>3</v>
      </c>
      <c r="O12" s="34" t="str">
        <f t="shared" si="2"/>
        <v>task12</v>
      </c>
      <c r="P12" s="34" t="s">
        <v>54</v>
      </c>
      <c r="Q12" s="34">
        <v>50</v>
      </c>
      <c r="R12" s="38"/>
      <c r="S12" s="39"/>
      <c r="T12" s="37"/>
      <c r="U12" s="39"/>
      <c r="V12" s="39"/>
      <c r="W12" s="37"/>
      <c r="X12" s="39"/>
      <c r="Y12" s="39"/>
      <c r="Z12" s="39"/>
      <c r="AA12" s="37"/>
      <c r="AB12" s="37"/>
      <c r="AC12" s="37"/>
      <c r="AD12" s="39"/>
      <c r="AE12" s="39"/>
      <c r="AF12" s="39"/>
    </row>
    <row r="24" spans="5:5" x14ac:dyDescent="0.2">
      <c r="E24" t="s">
        <v>44</v>
      </c>
    </row>
    <row r="25" spans="5:5" x14ac:dyDescent="0.2">
      <c r="E25">
        <f>-J5</f>
        <v>-1</v>
      </c>
    </row>
  </sheetData>
  <dataConsolidate/>
  <mergeCells count="5">
    <mergeCell ref="H3:J3"/>
    <mergeCell ref="D3:E3"/>
    <mergeCell ref="F3:G3"/>
    <mergeCell ref="K3:L3"/>
    <mergeCell ref="M3:N3"/>
  </mergeCells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testDrow">
                <anchor moveWithCells="1">
                  <from>
                    <xdr:col>14</xdr:col>
                    <xdr:colOff>628650</xdr:colOff>
                    <xdr:row>0</xdr:row>
                    <xdr:rowOff>107950</xdr:rowOff>
                  </from>
                  <to>
                    <xdr:col>16</xdr:col>
                    <xdr:colOff>323850</xdr:colOff>
                    <xdr:row>0</xdr:row>
                    <xdr:rowOff>317500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5" name="Button 5">
              <controlPr defaultSize="0" print="0" autoFill="0" autoPict="0" macro="[0]!calcPriority">
                <anchor moveWithCells="1">
                  <from>
                    <xdr:col>12</xdr:col>
                    <xdr:colOff>6350</xdr:colOff>
                    <xdr:row>0</xdr:row>
                    <xdr:rowOff>101600</xdr:rowOff>
                  </from>
                  <to>
                    <xdr:col>14</xdr:col>
                    <xdr:colOff>31750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6" name="Button 6">
              <controlPr defaultSize="0" print="0" autoFill="0" autoPict="0" macro="[0]!YoubiColor">
                <anchor moveWithCells="1">
                  <from>
                    <xdr:col>18</xdr:col>
                    <xdr:colOff>146050</xdr:colOff>
                    <xdr:row>0</xdr:row>
                    <xdr:rowOff>76200</xdr:rowOff>
                  </from>
                  <to>
                    <xdr:col>20</xdr:col>
                    <xdr:colOff>215900</xdr:colOff>
                    <xdr:row>0</xdr:row>
                    <xdr:rowOff>273050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7" name="Button 7">
              <controlPr defaultSize="0" print="0" autoFill="0" autoPict="0" macro="[0]!updateKeikakuDate">
                <anchor moveWithCells="1">
                  <from>
                    <xdr:col>3</xdr:col>
                    <xdr:colOff>184150</xdr:colOff>
                    <xdr:row>0</xdr:row>
                    <xdr:rowOff>76200</xdr:rowOff>
                  </from>
                  <to>
                    <xdr:col>4</xdr:col>
                    <xdr:colOff>387350</xdr:colOff>
                    <xdr:row>0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M352"/>
  <sheetViews>
    <sheetView workbookViewId="0">
      <selection activeCell="K2" sqref="K2"/>
    </sheetView>
  </sheetViews>
  <sheetFormatPr defaultColWidth="9" defaultRowHeight="16" x14ac:dyDescent="0.2"/>
  <cols>
    <col min="1" max="1" width="3.453125" style="1" customWidth="1"/>
    <col min="2" max="2" width="12.7265625" style="10" bestFit="1" customWidth="1"/>
    <col min="3" max="3" width="20.36328125" style="10" customWidth="1"/>
    <col min="4" max="4" width="12.6328125" style="1" customWidth="1"/>
    <col min="5" max="7" width="2.54296875" style="1" customWidth="1"/>
    <col min="8" max="8" width="10.453125" style="1" bestFit="1" customWidth="1"/>
    <col min="9" max="13" width="11.453125" style="1" customWidth="1"/>
    <col min="14" max="16384" width="9" style="1"/>
  </cols>
  <sheetData>
    <row r="1" spans="2:13" x14ac:dyDescent="0.2">
      <c r="B1" s="1"/>
      <c r="C1" s="1"/>
    </row>
    <row r="2" spans="2:13" x14ac:dyDescent="0.2">
      <c r="B2" s="25" t="s">
        <v>13</v>
      </c>
      <c r="C2" s="25"/>
      <c r="D2" s="24" t="s">
        <v>43</v>
      </c>
      <c r="E2" s="5"/>
      <c r="F2" s="5"/>
      <c r="H2" s="2" t="s">
        <v>14</v>
      </c>
      <c r="I2" s="4" t="s">
        <v>53</v>
      </c>
      <c r="J2" s="3" t="s">
        <v>31</v>
      </c>
      <c r="K2" s="3" t="s">
        <v>32</v>
      </c>
      <c r="L2" s="3" t="s">
        <v>33</v>
      </c>
      <c r="M2" s="3"/>
    </row>
    <row r="3" spans="2:13" x14ac:dyDescent="0.2">
      <c r="B3" s="40">
        <v>43831</v>
      </c>
      <c r="C3" s="41" t="s">
        <v>15</v>
      </c>
      <c r="D3" s="4"/>
      <c r="E3" s="5"/>
      <c r="F3" s="5"/>
      <c r="G3" s="5"/>
      <c r="H3" s="6" t="s">
        <v>37</v>
      </c>
      <c r="I3" s="7"/>
      <c r="J3" s="8"/>
      <c r="K3" s="17"/>
      <c r="L3" s="13"/>
      <c r="M3" s="16"/>
    </row>
    <row r="4" spans="2:13" x14ac:dyDescent="0.2">
      <c r="B4" s="40">
        <v>43843</v>
      </c>
      <c r="C4" s="41" t="s">
        <v>16</v>
      </c>
      <c r="D4" s="4"/>
      <c r="E4" s="5"/>
      <c r="F4" s="5"/>
      <c r="G4" s="5"/>
      <c r="H4" s="6" t="s">
        <v>38</v>
      </c>
      <c r="I4" s="11"/>
      <c r="J4" s="12"/>
      <c r="K4" s="18"/>
      <c r="L4" s="14"/>
      <c r="M4" s="15"/>
    </row>
    <row r="5" spans="2:13" x14ac:dyDescent="0.2">
      <c r="B5" s="40">
        <v>43872</v>
      </c>
      <c r="C5" s="41" t="s">
        <v>17</v>
      </c>
      <c r="D5" s="4"/>
      <c r="E5" s="5"/>
      <c r="F5" s="5"/>
      <c r="G5" s="5"/>
      <c r="H5" s="6" t="s">
        <v>34</v>
      </c>
      <c r="I5" s="3" t="s">
        <v>47</v>
      </c>
      <c r="J5" s="3" t="s">
        <v>48</v>
      </c>
      <c r="K5" s="3" t="s">
        <v>35</v>
      </c>
      <c r="L5" s="3"/>
      <c r="M5" s="3"/>
    </row>
    <row r="6" spans="2:13" x14ac:dyDescent="0.2">
      <c r="B6" s="40">
        <v>43884</v>
      </c>
      <c r="C6" s="41" t="s">
        <v>18</v>
      </c>
      <c r="D6" s="4"/>
      <c r="E6" s="5"/>
      <c r="F6" s="5"/>
      <c r="G6" s="5"/>
      <c r="H6" s="6" t="s">
        <v>36</v>
      </c>
      <c r="I6" s="9">
        <v>44310</v>
      </c>
      <c r="J6" s="9">
        <v>44311</v>
      </c>
      <c r="K6" s="9">
        <v>44312</v>
      </c>
      <c r="L6" s="9"/>
      <c r="M6" s="3"/>
    </row>
    <row r="7" spans="2:13" x14ac:dyDescent="0.2">
      <c r="B7" s="40">
        <v>43885</v>
      </c>
      <c r="C7" s="41" t="s">
        <v>41</v>
      </c>
      <c r="D7" s="4"/>
      <c r="E7" s="5"/>
      <c r="F7" s="5"/>
      <c r="G7" s="5"/>
      <c r="I7" s="9"/>
      <c r="J7" s="3"/>
      <c r="K7" s="3"/>
      <c r="L7" s="3"/>
      <c r="M7" s="3"/>
    </row>
    <row r="8" spans="2:13" x14ac:dyDescent="0.2">
      <c r="B8" s="40">
        <v>43910</v>
      </c>
      <c r="C8" s="41" t="s">
        <v>19</v>
      </c>
      <c r="D8" s="4"/>
      <c r="E8" s="5"/>
      <c r="F8" s="5"/>
      <c r="G8" s="5"/>
      <c r="I8" s="9"/>
      <c r="J8" s="3"/>
      <c r="K8" s="3"/>
      <c r="L8" s="3"/>
      <c r="M8" s="3"/>
    </row>
    <row r="9" spans="2:13" x14ac:dyDescent="0.2">
      <c r="B9" s="40">
        <v>43950</v>
      </c>
      <c r="C9" s="41" t="s">
        <v>20</v>
      </c>
      <c r="D9" s="4"/>
      <c r="E9" s="5"/>
      <c r="F9" s="5"/>
      <c r="G9" s="5"/>
      <c r="I9" s="3"/>
      <c r="J9" s="3"/>
      <c r="K9" s="3"/>
      <c r="L9" s="3"/>
      <c r="M9" s="3"/>
    </row>
    <row r="10" spans="2:13" x14ac:dyDescent="0.2">
      <c r="B10" s="40">
        <v>43954</v>
      </c>
      <c r="C10" s="41" t="s">
        <v>21</v>
      </c>
      <c r="D10" s="4" t="s">
        <v>53</v>
      </c>
      <c r="E10" s="5"/>
      <c r="F10" s="5"/>
      <c r="G10" s="5"/>
      <c r="I10" s="3"/>
      <c r="J10" s="3"/>
      <c r="K10" s="3"/>
      <c r="L10" s="3"/>
      <c r="M10" s="3"/>
    </row>
    <row r="11" spans="2:13" x14ac:dyDescent="0.2">
      <c r="B11" s="40">
        <v>43955</v>
      </c>
      <c r="C11" s="41" t="s">
        <v>22</v>
      </c>
      <c r="D11" s="4" t="s">
        <v>53</v>
      </c>
      <c r="E11" s="5"/>
      <c r="F11" s="5"/>
      <c r="G11" s="5"/>
      <c r="I11" s="3"/>
      <c r="J11" s="3"/>
      <c r="K11" s="3"/>
      <c r="L11" s="3"/>
      <c r="M11" s="3"/>
    </row>
    <row r="12" spans="2:13" x14ac:dyDescent="0.2">
      <c r="B12" s="40">
        <v>43956</v>
      </c>
      <c r="C12" s="41" t="s">
        <v>23</v>
      </c>
      <c r="D12" s="4"/>
      <c r="E12" s="5"/>
      <c r="F12" s="5"/>
      <c r="G12" s="5"/>
      <c r="I12" s="3"/>
      <c r="J12" s="3"/>
      <c r="K12" s="3"/>
      <c r="L12" s="3"/>
      <c r="M12" s="3"/>
    </row>
    <row r="13" spans="2:13" x14ac:dyDescent="0.2">
      <c r="B13" s="40">
        <v>43957</v>
      </c>
      <c r="C13" s="41" t="s">
        <v>41</v>
      </c>
      <c r="D13" s="4"/>
      <c r="E13" s="5"/>
      <c r="F13" s="5"/>
      <c r="G13" s="5"/>
      <c r="I13" s="3"/>
      <c r="J13" s="3"/>
      <c r="K13" s="3"/>
      <c r="L13" s="3"/>
      <c r="M13" s="3"/>
    </row>
    <row r="14" spans="2:13" x14ac:dyDescent="0.2">
      <c r="B14" s="40">
        <v>44035</v>
      </c>
      <c r="C14" s="41" t="s">
        <v>24</v>
      </c>
      <c r="D14" s="4"/>
      <c r="E14" s="5"/>
      <c r="F14" s="5"/>
      <c r="G14" s="5"/>
      <c r="I14" s="3"/>
      <c r="J14" s="3"/>
      <c r="K14" s="3"/>
      <c r="L14" s="3"/>
      <c r="M14" s="3"/>
    </row>
    <row r="15" spans="2:13" x14ac:dyDescent="0.2">
      <c r="B15" s="40">
        <v>44036</v>
      </c>
      <c r="C15" s="41" t="s">
        <v>28</v>
      </c>
      <c r="D15" s="4"/>
      <c r="E15" s="5"/>
      <c r="F15" s="5"/>
      <c r="G15" s="5"/>
      <c r="I15" s="3"/>
      <c r="J15" s="3"/>
      <c r="K15" s="3"/>
      <c r="L15" s="3"/>
      <c r="M15" s="3"/>
    </row>
    <row r="16" spans="2:13" x14ac:dyDescent="0.2">
      <c r="B16" s="40">
        <v>44053</v>
      </c>
      <c r="C16" s="41" t="s">
        <v>25</v>
      </c>
      <c r="D16" s="4"/>
      <c r="E16" s="5"/>
      <c r="F16" s="5"/>
      <c r="G16" s="5"/>
      <c r="I16" s="3"/>
      <c r="J16" s="3"/>
      <c r="K16" s="3"/>
      <c r="L16" s="3"/>
      <c r="M16" s="3"/>
    </row>
    <row r="17" spans="2:13" x14ac:dyDescent="0.2">
      <c r="B17" s="40">
        <v>44095</v>
      </c>
      <c r="C17" s="41" t="s">
        <v>26</v>
      </c>
      <c r="D17" s="4"/>
      <c r="E17" s="5"/>
      <c r="F17" s="5"/>
      <c r="G17" s="5"/>
      <c r="I17" s="3"/>
      <c r="J17" s="3"/>
      <c r="K17" s="3"/>
      <c r="L17" s="3"/>
      <c r="M17" s="3"/>
    </row>
    <row r="18" spans="2:13" x14ac:dyDescent="0.2">
      <c r="B18" s="40">
        <v>44096</v>
      </c>
      <c r="C18" s="41" t="s">
        <v>27</v>
      </c>
      <c r="D18" s="4"/>
      <c r="E18" s="5"/>
      <c r="F18" s="5"/>
      <c r="G18" s="5"/>
      <c r="I18" s="3"/>
      <c r="J18" s="3"/>
      <c r="K18" s="3"/>
      <c r="L18" s="3"/>
      <c r="M18" s="3"/>
    </row>
    <row r="19" spans="2:13" x14ac:dyDescent="0.2">
      <c r="B19" s="40">
        <v>44138</v>
      </c>
      <c r="C19" s="41" t="s">
        <v>29</v>
      </c>
      <c r="D19" s="4"/>
      <c r="E19" s="5"/>
      <c r="F19" s="5"/>
      <c r="G19" s="5"/>
      <c r="I19" s="3"/>
      <c r="J19" s="3"/>
      <c r="K19" s="3"/>
      <c r="L19" s="3"/>
      <c r="M19" s="3"/>
    </row>
    <row r="20" spans="2:13" x14ac:dyDescent="0.2">
      <c r="B20" s="40">
        <v>44158</v>
      </c>
      <c r="C20" s="41" t="s">
        <v>30</v>
      </c>
      <c r="D20" s="4"/>
      <c r="E20" s="5"/>
      <c r="F20" s="5"/>
      <c r="G20" s="5"/>
      <c r="J20" s="5"/>
    </row>
    <row r="21" spans="2:13" x14ac:dyDescent="0.2">
      <c r="B21" s="40">
        <v>44197</v>
      </c>
      <c r="C21" s="41" t="s">
        <v>15</v>
      </c>
      <c r="D21" s="4"/>
      <c r="E21" s="5"/>
      <c r="F21" s="5"/>
      <c r="G21" s="5"/>
      <c r="J21" s="5"/>
    </row>
    <row r="22" spans="2:13" x14ac:dyDescent="0.2">
      <c r="B22" s="40">
        <v>44207</v>
      </c>
      <c r="C22" s="41" t="s">
        <v>16</v>
      </c>
      <c r="D22" s="4"/>
      <c r="E22" s="5"/>
      <c r="F22" s="5"/>
      <c r="G22" s="5"/>
      <c r="J22" s="5"/>
    </row>
    <row r="23" spans="2:13" x14ac:dyDescent="0.2">
      <c r="B23" s="40">
        <v>44238</v>
      </c>
      <c r="C23" s="41" t="s">
        <v>17</v>
      </c>
      <c r="D23" s="4"/>
      <c r="E23" s="5"/>
      <c r="F23" s="5"/>
      <c r="G23" s="5"/>
      <c r="J23" s="5"/>
    </row>
    <row r="24" spans="2:13" x14ac:dyDescent="0.2">
      <c r="B24" s="40">
        <v>44250</v>
      </c>
      <c r="C24" s="41" t="s">
        <v>18</v>
      </c>
      <c r="D24" s="4"/>
      <c r="E24" s="5"/>
      <c r="F24" s="5"/>
      <c r="G24" s="5"/>
      <c r="J24" s="5"/>
    </row>
    <row r="25" spans="2:13" x14ac:dyDescent="0.2">
      <c r="B25" s="40">
        <v>44275</v>
      </c>
      <c r="C25" s="41" t="s">
        <v>19</v>
      </c>
      <c r="D25" s="4"/>
      <c r="E25" s="5"/>
      <c r="F25" s="5"/>
      <c r="G25" s="5"/>
      <c r="J25" s="5"/>
    </row>
    <row r="26" spans="2:13" x14ac:dyDescent="0.2">
      <c r="B26" s="40">
        <v>44315</v>
      </c>
      <c r="C26" s="41" t="s">
        <v>20</v>
      </c>
      <c r="D26" s="4"/>
      <c r="E26" s="5"/>
      <c r="F26" s="5"/>
      <c r="G26" s="5"/>
      <c r="J26" s="5"/>
    </row>
    <row r="27" spans="2:13" x14ac:dyDescent="0.2">
      <c r="B27" s="40">
        <v>44319</v>
      </c>
      <c r="C27" s="41" t="s">
        <v>21</v>
      </c>
      <c r="D27" s="4" t="s">
        <v>53</v>
      </c>
      <c r="E27" s="5"/>
      <c r="F27" s="5"/>
      <c r="G27" s="5"/>
      <c r="J27" s="5"/>
    </row>
    <row r="28" spans="2:13" x14ac:dyDescent="0.2">
      <c r="B28" s="40">
        <v>44320</v>
      </c>
      <c r="C28" s="41" t="s">
        <v>22</v>
      </c>
      <c r="D28" s="4" t="s">
        <v>53</v>
      </c>
      <c r="E28" s="5"/>
      <c r="F28" s="5"/>
      <c r="G28" s="5"/>
      <c r="J28" s="5"/>
    </row>
    <row r="29" spans="2:13" x14ac:dyDescent="0.2">
      <c r="B29" s="40">
        <v>44321</v>
      </c>
      <c r="C29" s="41" t="s">
        <v>23</v>
      </c>
      <c r="D29" s="4"/>
      <c r="E29" s="5"/>
      <c r="F29" s="5"/>
      <c r="G29" s="5"/>
      <c r="J29" s="5"/>
    </row>
    <row r="30" spans="2:13" x14ac:dyDescent="0.2">
      <c r="B30" s="40">
        <v>44399</v>
      </c>
      <c r="C30" s="41" t="s">
        <v>24</v>
      </c>
      <c r="D30" s="4"/>
      <c r="E30" s="5"/>
      <c r="F30" s="5"/>
      <c r="G30" s="5"/>
      <c r="J30" s="5"/>
    </row>
    <row r="31" spans="2:13" x14ac:dyDescent="0.2">
      <c r="B31" s="40">
        <v>44400</v>
      </c>
      <c r="C31" s="41" t="s">
        <v>28</v>
      </c>
      <c r="D31" s="4"/>
      <c r="E31" s="5"/>
      <c r="F31" s="5"/>
      <c r="G31" s="5"/>
      <c r="J31" s="5"/>
    </row>
    <row r="32" spans="2:13" x14ac:dyDescent="0.2">
      <c r="B32" s="40">
        <v>44416</v>
      </c>
      <c r="C32" s="41" t="s">
        <v>25</v>
      </c>
      <c r="D32" s="4"/>
      <c r="E32" s="5"/>
      <c r="F32" s="5"/>
      <c r="G32" s="5"/>
      <c r="J32" s="5"/>
    </row>
    <row r="33" spans="2:10" x14ac:dyDescent="0.2">
      <c r="B33" s="40">
        <v>44417</v>
      </c>
      <c r="C33" s="41" t="s">
        <v>41</v>
      </c>
      <c r="D33" s="4"/>
      <c r="E33" s="5"/>
      <c r="F33" s="5"/>
      <c r="G33" s="5"/>
      <c r="J33" s="5"/>
    </row>
    <row r="34" spans="2:10" x14ac:dyDescent="0.2">
      <c r="B34" s="40">
        <v>44459</v>
      </c>
      <c r="C34" s="41" t="s">
        <v>26</v>
      </c>
      <c r="D34" s="4"/>
      <c r="E34" s="5"/>
      <c r="F34" s="5"/>
      <c r="G34" s="5"/>
      <c r="J34" s="5"/>
    </row>
    <row r="35" spans="2:10" x14ac:dyDescent="0.2">
      <c r="B35" s="40">
        <v>44462</v>
      </c>
      <c r="C35" s="41" t="s">
        <v>27</v>
      </c>
      <c r="D35" s="4"/>
      <c r="E35" s="5"/>
      <c r="F35" s="5"/>
      <c r="G35" s="5"/>
      <c r="J35" s="5"/>
    </row>
    <row r="36" spans="2:10" x14ac:dyDescent="0.2">
      <c r="B36" s="40">
        <v>44503</v>
      </c>
      <c r="C36" s="41" t="s">
        <v>29</v>
      </c>
      <c r="D36" s="4"/>
      <c r="E36" s="5"/>
      <c r="F36" s="5"/>
      <c r="G36" s="5"/>
      <c r="J36" s="5"/>
    </row>
    <row r="37" spans="2:10" x14ac:dyDescent="0.2">
      <c r="B37" s="40">
        <v>44523</v>
      </c>
      <c r="C37" s="41" t="s">
        <v>30</v>
      </c>
      <c r="D37" s="4"/>
      <c r="E37" s="5"/>
      <c r="F37" s="5"/>
      <c r="G37" s="5"/>
      <c r="J37" s="5"/>
    </row>
    <row r="38" spans="2:10" x14ac:dyDescent="0.2">
      <c r="B38" s="40">
        <v>44562</v>
      </c>
      <c r="C38" s="41" t="s">
        <v>15</v>
      </c>
      <c r="D38" s="4"/>
      <c r="E38" s="5"/>
      <c r="F38" s="5"/>
      <c r="G38" s="5"/>
      <c r="J38" s="5"/>
    </row>
    <row r="39" spans="2:10" x14ac:dyDescent="0.2">
      <c r="B39" s="40">
        <v>44571</v>
      </c>
      <c r="C39" s="41" t="s">
        <v>16</v>
      </c>
      <c r="D39" s="4"/>
      <c r="E39" s="5"/>
      <c r="F39" s="5"/>
      <c r="G39" s="5"/>
      <c r="J39" s="5"/>
    </row>
    <row r="40" spans="2:10" x14ac:dyDescent="0.2">
      <c r="B40" s="40">
        <v>44603</v>
      </c>
      <c r="C40" s="41" t="s">
        <v>17</v>
      </c>
      <c r="D40" s="4"/>
      <c r="E40" s="5"/>
      <c r="F40" s="5"/>
      <c r="G40" s="5"/>
      <c r="J40" s="5"/>
    </row>
    <row r="41" spans="2:10" x14ac:dyDescent="0.2">
      <c r="B41" s="40">
        <v>44615</v>
      </c>
      <c r="C41" s="41" t="s">
        <v>18</v>
      </c>
      <c r="D41" s="4"/>
      <c r="E41" s="5"/>
      <c r="F41" s="5"/>
      <c r="G41" s="5"/>
      <c r="J41" s="5"/>
    </row>
    <row r="42" spans="2:10" x14ac:dyDescent="0.2">
      <c r="B42" s="40">
        <v>44641</v>
      </c>
      <c r="C42" s="41" t="s">
        <v>19</v>
      </c>
      <c r="D42" s="4"/>
      <c r="E42" s="5"/>
      <c r="F42" s="5"/>
      <c r="G42" s="5"/>
      <c r="J42" s="5"/>
    </row>
    <row r="43" spans="2:10" x14ac:dyDescent="0.2">
      <c r="B43" s="40">
        <v>44680</v>
      </c>
      <c r="C43" s="41" t="s">
        <v>20</v>
      </c>
      <c r="D43" s="4"/>
      <c r="E43" s="5"/>
      <c r="F43" s="5"/>
      <c r="G43" s="5"/>
      <c r="J43" s="5"/>
    </row>
    <row r="44" spans="2:10" x14ac:dyDescent="0.2">
      <c r="B44" s="40">
        <v>44684</v>
      </c>
      <c r="C44" s="41" t="s">
        <v>21</v>
      </c>
      <c r="D44" s="4"/>
      <c r="E44" s="5"/>
      <c r="F44" s="5"/>
      <c r="G44" s="5"/>
      <c r="J44" s="5"/>
    </row>
    <row r="45" spans="2:10" x14ac:dyDescent="0.2">
      <c r="B45" s="40">
        <v>44685</v>
      </c>
      <c r="C45" s="41" t="s">
        <v>22</v>
      </c>
      <c r="D45" s="4"/>
      <c r="E45" s="5"/>
      <c r="F45" s="5"/>
      <c r="G45" s="5"/>
      <c r="J45" s="5"/>
    </row>
    <row r="46" spans="2:10" x14ac:dyDescent="0.2">
      <c r="B46" s="40">
        <v>44686</v>
      </c>
      <c r="C46" s="41" t="s">
        <v>23</v>
      </c>
      <c r="D46" s="4"/>
      <c r="E46" s="5"/>
      <c r="F46" s="5"/>
      <c r="G46" s="5"/>
      <c r="J46" s="5"/>
    </row>
    <row r="47" spans="2:10" x14ac:dyDescent="0.2">
      <c r="B47" s="40">
        <v>44760</v>
      </c>
      <c r="C47" s="41" t="s">
        <v>24</v>
      </c>
      <c r="D47" s="4"/>
      <c r="E47" s="5"/>
      <c r="F47" s="5"/>
      <c r="G47" s="5"/>
      <c r="J47" s="5"/>
    </row>
    <row r="48" spans="2:10" x14ac:dyDescent="0.2">
      <c r="B48" s="40">
        <v>44784</v>
      </c>
      <c r="C48" s="41" t="s">
        <v>25</v>
      </c>
      <c r="D48" s="4"/>
      <c r="E48" s="5"/>
      <c r="F48" s="5"/>
      <c r="G48" s="5"/>
      <c r="J48" s="5"/>
    </row>
    <row r="49" spans="2:10" x14ac:dyDescent="0.2">
      <c r="B49" s="40">
        <v>44823</v>
      </c>
      <c r="C49" s="41" t="s">
        <v>26</v>
      </c>
      <c r="D49" s="4"/>
      <c r="E49" s="5"/>
      <c r="F49" s="5"/>
      <c r="G49" s="5"/>
      <c r="J49" s="5"/>
    </row>
    <row r="50" spans="2:10" x14ac:dyDescent="0.2">
      <c r="B50" s="40">
        <v>44827</v>
      </c>
      <c r="C50" s="41" t="s">
        <v>27</v>
      </c>
      <c r="D50" s="4"/>
      <c r="E50" s="5"/>
      <c r="F50" s="5"/>
      <c r="G50" s="5"/>
      <c r="J50" s="5"/>
    </row>
    <row r="51" spans="2:10" x14ac:dyDescent="0.2">
      <c r="B51" s="40">
        <v>44844</v>
      </c>
      <c r="C51" s="41" t="s">
        <v>28</v>
      </c>
      <c r="D51" s="4"/>
      <c r="E51" s="5"/>
      <c r="F51" s="5"/>
      <c r="G51" s="5"/>
      <c r="J51" s="5"/>
    </row>
    <row r="52" spans="2:10" x14ac:dyDescent="0.2">
      <c r="B52" s="40">
        <v>44868</v>
      </c>
      <c r="C52" s="41" t="s">
        <v>29</v>
      </c>
      <c r="D52" s="4"/>
      <c r="E52" s="5"/>
      <c r="F52" s="5"/>
      <c r="G52" s="5"/>
      <c r="J52" s="5"/>
    </row>
    <row r="53" spans="2:10" x14ac:dyDescent="0.2">
      <c r="B53" s="40">
        <v>44888</v>
      </c>
      <c r="C53" s="41" t="s">
        <v>30</v>
      </c>
      <c r="D53" s="4"/>
      <c r="E53" s="5"/>
      <c r="F53" s="5"/>
      <c r="G53" s="5"/>
      <c r="J53" s="5"/>
    </row>
    <row r="54" spans="2:10" x14ac:dyDescent="0.2">
      <c r="B54" s="40">
        <v>44927</v>
      </c>
      <c r="C54" s="41" t="s">
        <v>15</v>
      </c>
      <c r="D54" s="4"/>
      <c r="E54" s="5"/>
      <c r="F54" s="5"/>
      <c r="G54" s="5"/>
      <c r="J54" s="5"/>
    </row>
    <row r="55" spans="2:10" x14ac:dyDescent="0.2">
      <c r="B55" s="40">
        <v>44928</v>
      </c>
      <c r="C55" s="41" t="s">
        <v>41</v>
      </c>
      <c r="D55" s="4"/>
      <c r="E55" s="5"/>
      <c r="F55" s="5"/>
      <c r="G55" s="5"/>
      <c r="J55" s="5"/>
    </row>
    <row r="56" spans="2:10" x14ac:dyDescent="0.2">
      <c r="B56" s="40">
        <v>44935</v>
      </c>
      <c r="C56" s="41" t="s">
        <v>16</v>
      </c>
      <c r="D56" s="4"/>
      <c r="E56" s="5"/>
      <c r="F56" s="5"/>
      <c r="G56" s="5"/>
      <c r="J56" s="5"/>
    </row>
    <row r="57" spans="2:10" x14ac:dyDescent="0.2">
      <c r="B57" s="40">
        <v>44968</v>
      </c>
      <c r="C57" s="41" t="s">
        <v>17</v>
      </c>
      <c r="D57" s="4"/>
      <c r="E57" s="5"/>
      <c r="F57" s="5"/>
      <c r="G57" s="5"/>
      <c r="J57" s="5"/>
    </row>
    <row r="58" spans="2:10" x14ac:dyDescent="0.2">
      <c r="B58" s="40">
        <v>44980</v>
      </c>
      <c r="C58" s="41" t="s">
        <v>18</v>
      </c>
      <c r="D58" s="4"/>
      <c r="E58" s="5"/>
      <c r="F58" s="5"/>
      <c r="G58" s="5"/>
      <c r="J58" s="5"/>
    </row>
    <row r="59" spans="2:10" x14ac:dyDescent="0.2">
      <c r="B59" s="40">
        <v>45006</v>
      </c>
      <c r="C59" s="41" t="s">
        <v>19</v>
      </c>
      <c r="D59" s="4"/>
      <c r="E59" s="5"/>
      <c r="F59" s="5"/>
      <c r="G59" s="5"/>
      <c r="J59" s="5"/>
    </row>
    <row r="60" spans="2:10" x14ac:dyDescent="0.2">
      <c r="B60" s="40">
        <v>45045</v>
      </c>
      <c r="C60" s="41" t="s">
        <v>20</v>
      </c>
      <c r="D60" s="4"/>
      <c r="E60" s="5"/>
      <c r="F60" s="5"/>
      <c r="G60" s="5"/>
      <c r="J60" s="5"/>
    </row>
    <row r="61" spans="2:10" x14ac:dyDescent="0.2">
      <c r="B61" s="40">
        <v>45049</v>
      </c>
      <c r="C61" s="41" t="s">
        <v>21</v>
      </c>
      <c r="D61" s="4"/>
      <c r="E61" s="5"/>
      <c r="F61" s="5"/>
      <c r="G61" s="5"/>
      <c r="J61" s="5"/>
    </row>
    <row r="62" spans="2:10" x14ac:dyDescent="0.2">
      <c r="B62" s="40">
        <v>45050</v>
      </c>
      <c r="C62" s="41" t="s">
        <v>22</v>
      </c>
      <c r="D62" s="4"/>
      <c r="E62" s="5"/>
      <c r="F62" s="5"/>
      <c r="G62" s="5"/>
      <c r="J62" s="5"/>
    </row>
    <row r="63" spans="2:10" x14ac:dyDescent="0.2">
      <c r="B63" s="40">
        <v>45051</v>
      </c>
      <c r="C63" s="41" t="s">
        <v>23</v>
      </c>
      <c r="D63" s="4"/>
      <c r="E63" s="5"/>
      <c r="F63" s="5"/>
      <c r="G63" s="5"/>
      <c r="J63" s="5"/>
    </row>
    <row r="64" spans="2:10" x14ac:dyDescent="0.2">
      <c r="B64" s="40">
        <v>45124</v>
      </c>
      <c r="C64" s="41" t="s">
        <v>24</v>
      </c>
      <c r="D64" s="4"/>
      <c r="E64" s="5"/>
      <c r="F64" s="5"/>
      <c r="G64" s="5"/>
      <c r="J64" s="5"/>
    </row>
    <row r="65" spans="2:10" x14ac:dyDescent="0.2">
      <c r="B65" s="40">
        <v>45149</v>
      </c>
      <c r="C65" s="41" t="s">
        <v>25</v>
      </c>
      <c r="D65" s="4"/>
      <c r="E65" s="5"/>
      <c r="F65" s="5"/>
      <c r="G65" s="5"/>
      <c r="J65" s="5"/>
    </row>
    <row r="66" spans="2:10" x14ac:dyDescent="0.2">
      <c r="B66" s="40">
        <v>45187</v>
      </c>
      <c r="C66" s="41" t="s">
        <v>26</v>
      </c>
      <c r="D66" s="4"/>
      <c r="E66" s="5"/>
      <c r="F66" s="5"/>
      <c r="G66" s="5"/>
      <c r="J66" s="5"/>
    </row>
    <row r="67" spans="2:10" x14ac:dyDescent="0.2">
      <c r="B67" s="40">
        <v>45192</v>
      </c>
      <c r="C67" s="41" t="s">
        <v>27</v>
      </c>
      <c r="D67" s="4"/>
      <c r="E67" s="5"/>
      <c r="F67" s="5"/>
      <c r="G67" s="5"/>
      <c r="J67" s="5"/>
    </row>
    <row r="68" spans="2:10" x14ac:dyDescent="0.2">
      <c r="B68" s="40">
        <v>45208</v>
      </c>
      <c r="C68" s="41" t="s">
        <v>28</v>
      </c>
      <c r="D68" s="4"/>
      <c r="E68" s="5"/>
      <c r="F68" s="5"/>
      <c r="G68" s="5"/>
      <c r="J68" s="5"/>
    </row>
    <row r="69" spans="2:10" x14ac:dyDescent="0.2">
      <c r="B69" s="40">
        <v>45233</v>
      </c>
      <c r="C69" s="41" t="s">
        <v>29</v>
      </c>
      <c r="D69" s="4"/>
      <c r="E69" s="5"/>
      <c r="F69" s="5"/>
      <c r="G69" s="5"/>
      <c r="J69" s="5"/>
    </row>
    <row r="70" spans="2:10" x14ac:dyDescent="0.2">
      <c r="B70" s="40">
        <v>45253</v>
      </c>
      <c r="C70" s="41" t="s">
        <v>30</v>
      </c>
      <c r="D70" s="4"/>
      <c r="E70" s="5"/>
      <c r="F70" s="5"/>
      <c r="G70" s="5"/>
      <c r="J70" s="5"/>
    </row>
    <row r="71" spans="2:10" x14ac:dyDescent="0.2">
      <c r="B71" s="40">
        <v>45292</v>
      </c>
      <c r="C71" s="41" t="s">
        <v>15</v>
      </c>
      <c r="D71" s="4"/>
      <c r="E71" s="5"/>
      <c r="F71" s="5"/>
      <c r="G71" s="5"/>
      <c r="J71" s="5"/>
    </row>
    <row r="72" spans="2:10" x14ac:dyDescent="0.2">
      <c r="B72" s="40">
        <v>45299</v>
      </c>
      <c r="C72" s="41" t="s">
        <v>16</v>
      </c>
      <c r="D72" s="4"/>
      <c r="E72" s="5"/>
      <c r="F72" s="5"/>
      <c r="G72" s="5"/>
      <c r="J72" s="5"/>
    </row>
    <row r="73" spans="2:10" x14ac:dyDescent="0.2">
      <c r="B73" s="40">
        <v>45333</v>
      </c>
      <c r="C73" s="41" t="s">
        <v>17</v>
      </c>
      <c r="D73" s="4"/>
      <c r="E73" s="5"/>
      <c r="F73" s="5"/>
      <c r="G73" s="5"/>
      <c r="J73" s="5"/>
    </row>
    <row r="74" spans="2:10" x14ac:dyDescent="0.2">
      <c r="B74" s="40">
        <v>45334</v>
      </c>
      <c r="C74" s="41" t="s">
        <v>41</v>
      </c>
      <c r="D74" s="4"/>
      <c r="E74" s="5"/>
      <c r="F74" s="5"/>
      <c r="G74" s="5"/>
      <c r="J74" s="5"/>
    </row>
    <row r="75" spans="2:10" x14ac:dyDescent="0.2">
      <c r="B75" s="40">
        <v>45345</v>
      </c>
      <c r="C75" s="41" t="s">
        <v>18</v>
      </c>
      <c r="D75" s="4"/>
      <c r="E75" s="5"/>
      <c r="F75" s="5"/>
      <c r="G75" s="5"/>
      <c r="J75" s="5"/>
    </row>
    <row r="76" spans="2:10" x14ac:dyDescent="0.2">
      <c r="B76" s="40">
        <v>45371</v>
      </c>
      <c r="C76" s="41" t="s">
        <v>19</v>
      </c>
      <c r="D76" s="4"/>
      <c r="E76" s="5"/>
      <c r="F76" s="5"/>
      <c r="G76" s="5"/>
      <c r="J76" s="5"/>
    </row>
    <row r="77" spans="2:10" x14ac:dyDescent="0.2">
      <c r="B77" s="40">
        <v>45411</v>
      </c>
      <c r="C77" s="41" t="s">
        <v>20</v>
      </c>
      <c r="D77" s="4"/>
      <c r="E77" s="5"/>
      <c r="F77" s="5"/>
      <c r="G77" s="5"/>
      <c r="J77" s="5"/>
    </row>
    <row r="78" spans="2:10" x14ac:dyDescent="0.2">
      <c r="B78" s="40">
        <v>45415</v>
      </c>
      <c r="C78" s="41" t="s">
        <v>21</v>
      </c>
      <c r="D78" s="4"/>
      <c r="E78" s="5"/>
      <c r="F78" s="5"/>
      <c r="G78" s="5"/>
      <c r="J78" s="5"/>
    </row>
    <row r="79" spans="2:10" x14ac:dyDescent="0.2">
      <c r="B79" s="40">
        <v>45416</v>
      </c>
      <c r="C79" s="41" t="s">
        <v>22</v>
      </c>
      <c r="D79" s="4"/>
      <c r="E79" s="5"/>
      <c r="F79" s="5"/>
      <c r="G79" s="5"/>
      <c r="J79" s="5"/>
    </row>
    <row r="80" spans="2:10" x14ac:dyDescent="0.2">
      <c r="B80" s="40">
        <v>45417</v>
      </c>
      <c r="C80" s="41" t="s">
        <v>23</v>
      </c>
      <c r="D80" s="4"/>
      <c r="E80" s="5"/>
      <c r="F80" s="5"/>
      <c r="G80" s="5"/>
      <c r="J80" s="5"/>
    </row>
    <row r="81" spans="2:10" x14ac:dyDescent="0.2">
      <c r="B81" s="40">
        <v>45418</v>
      </c>
      <c r="C81" s="41" t="s">
        <v>41</v>
      </c>
      <c r="D81" s="4"/>
      <c r="E81" s="5"/>
      <c r="F81" s="5"/>
      <c r="G81" s="5"/>
      <c r="J81" s="5"/>
    </row>
    <row r="82" spans="2:10" ht="19" x14ac:dyDescent="0.2">
      <c r="B82" s="40">
        <v>45488</v>
      </c>
      <c r="C82" s="41" t="s">
        <v>24</v>
      </c>
      <c r="D82" s="42"/>
      <c r="E82" s="5"/>
      <c r="F82" s="5"/>
      <c r="G82" s="5"/>
      <c r="J82" s="5"/>
    </row>
    <row r="83" spans="2:10" ht="19" x14ac:dyDescent="0.2">
      <c r="B83" s="40">
        <v>45515</v>
      </c>
      <c r="C83" s="41" t="s">
        <v>25</v>
      </c>
      <c r="D83" s="42"/>
      <c r="E83" s="5"/>
      <c r="F83" s="5"/>
      <c r="G83" s="5"/>
      <c r="J83" s="5"/>
    </row>
    <row r="84" spans="2:10" ht="19" x14ac:dyDescent="0.2">
      <c r="B84" s="40">
        <v>45516</v>
      </c>
      <c r="C84" s="41" t="s">
        <v>41</v>
      </c>
      <c r="D84" s="42"/>
      <c r="E84" s="5"/>
      <c r="F84" s="5"/>
      <c r="G84" s="5"/>
      <c r="J84" s="5"/>
    </row>
    <row r="85" spans="2:10" ht="19" x14ac:dyDescent="0.2">
      <c r="B85" s="40">
        <v>45551</v>
      </c>
      <c r="C85" s="41" t="s">
        <v>26</v>
      </c>
      <c r="D85" s="42"/>
      <c r="E85" s="5"/>
      <c r="F85" s="5"/>
      <c r="G85" s="5"/>
      <c r="J85" s="5"/>
    </row>
    <row r="86" spans="2:10" ht="19" x14ac:dyDescent="0.2">
      <c r="B86" s="40">
        <v>45557</v>
      </c>
      <c r="C86" s="41" t="s">
        <v>27</v>
      </c>
      <c r="D86" s="42"/>
      <c r="E86" s="5"/>
      <c r="F86" s="5"/>
      <c r="G86" s="5"/>
      <c r="J86" s="5"/>
    </row>
    <row r="87" spans="2:10" ht="19" x14ac:dyDescent="0.2">
      <c r="B87" s="40">
        <v>45558</v>
      </c>
      <c r="C87" s="41" t="s">
        <v>41</v>
      </c>
      <c r="D87" s="42"/>
      <c r="E87" s="5"/>
      <c r="F87" s="5"/>
      <c r="G87" s="5"/>
      <c r="J87" s="5"/>
    </row>
    <row r="88" spans="2:10" ht="19" x14ac:dyDescent="0.2">
      <c r="B88" s="40">
        <v>45579</v>
      </c>
      <c r="C88" s="41" t="s">
        <v>28</v>
      </c>
      <c r="D88" s="42"/>
      <c r="E88" s="5"/>
      <c r="F88" s="5"/>
      <c r="G88" s="5"/>
      <c r="J88" s="5"/>
    </row>
    <row r="89" spans="2:10" ht="19" x14ac:dyDescent="0.2">
      <c r="B89" s="40">
        <v>45599</v>
      </c>
      <c r="C89" s="41" t="s">
        <v>29</v>
      </c>
      <c r="D89" s="42"/>
      <c r="E89" s="5"/>
      <c r="F89" s="5"/>
      <c r="G89" s="5"/>
      <c r="J89" s="5"/>
    </row>
    <row r="90" spans="2:10" ht="19" x14ac:dyDescent="0.2">
      <c r="B90" s="40">
        <v>45600</v>
      </c>
      <c r="C90" s="41" t="s">
        <v>41</v>
      </c>
      <c r="D90" s="42"/>
      <c r="E90" s="5"/>
      <c r="F90" s="5"/>
      <c r="G90" s="5"/>
      <c r="J90" s="5"/>
    </row>
    <row r="91" spans="2:10" ht="19" x14ac:dyDescent="0.2">
      <c r="B91" s="40">
        <v>45619</v>
      </c>
      <c r="C91" s="41" t="s">
        <v>30</v>
      </c>
      <c r="D91" s="42"/>
      <c r="E91" s="5"/>
      <c r="F91" s="5"/>
      <c r="G91" s="5"/>
      <c r="J91" s="5"/>
    </row>
    <row r="92" spans="2:10" ht="19" x14ac:dyDescent="0.2">
      <c r="B92" s="40">
        <v>45658</v>
      </c>
      <c r="C92" s="41" t="s">
        <v>15</v>
      </c>
      <c r="D92" s="42"/>
      <c r="E92" s="5"/>
      <c r="F92" s="5"/>
      <c r="G92" s="5"/>
      <c r="J92" s="5"/>
    </row>
    <row r="93" spans="2:10" ht="19" x14ac:dyDescent="0.2">
      <c r="B93" s="40">
        <v>45670</v>
      </c>
      <c r="C93" s="41" t="s">
        <v>16</v>
      </c>
      <c r="D93" s="42"/>
      <c r="E93" s="5"/>
      <c r="F93" s="5"/>
      <c r="G93" s="5"/>
      <c r="J93" s="5"/>
    </row>
    <row r="94" spans="2:10" ht="19" x14ac:dyDescent="0.2">
      <c r="B94" s="40">
        <v>45699</v>
      </c>
      <c r="C94" s="41" t="s">
        <v>17</v>
      </c>
      <c r="D94" s="42"/>
      <c r="E94" s="5"/>
      <c r="F94" s="5"/>
      <c r="G94" s="5"/>
      <c r="J94" s="5"/>
    </row>
    <row r="95" spans="2:10" ht="19" x14ac:dyDescent="0.2">
      <c r="B95" s="40">
        <v>45711</v>
      </c>
      <c r="C95" s="41" t="s">
        <v>18</v>
      </c>
      <c r="D95" s="42"/>
      <c r="E95" s="5"/>
      <c r="F95" s="5"/>
      <c r="G95" s="5"/>
      <c r="J95" s="5"/>
    </row>
    <row r="96" spans="2:10" ht="19" x14ac:dyDescent="0.2">
      <c r="B96" s="40">
        <v>45712</v>
      </c>
      <c r="C96" s="41" t="s">
        <v>41</v>
      </c>
      <c r="D96" s="42"/>
      <c r="E96" s="5"/>
      <c r="F96" s="5"/>
      <c r="G96" s="5"/>
      <c r="J96" s="5"/>
    </row>
    <row r="97" spans="2:10" ht="19" x14ac:dyDescent="0.2">
      <c r="B97" s="40">
        <v>45736</v>
      </c>
      <c r="C97" s="41" t="s">
        <v>19</v>
      </c>
      <c r="D97" s="42"/>
      <c r="E97" s="5"/>
      <c r="F97" s="5"/>
      <c r="G97" s="5"/>
      <c r="J97" s="5"/>
    </row>
    <row r="98" spans="2:10" ht="19" x14ac:dyDescent="0.2">
      <c r="B98" s="40">
        <v>45776</v>
      </c>
      <c r="C98" s="41" t="s">
        <v>20</v>
      </c>
      <c r="D98" s="42"/>
      <c r="E98" s="5"/>
      <c r="F98" s="5"/>
      <c r="G98" s="5"/>
      <c r="J98" s="5"/>
    </row>
    <row r="99" spans="2:10" ht="19" x14ac:dyDescent="0.2">
      <c r="B99" s="40">
        <v>45780</v>
      </c>
      <c r="C99" s="41" t="s">
        <v>21</v>
      </c>
      <c r="D99" s="42"/>
      <c r="E99" s="5"/>
      <c r="F99" s="5"/>
      <c r="G99" s="5"/>
      <c r="J99" s="5"/>
    </row>
    <row r="100" spans="2:10" ht="19" x14ac:dyDescent="0.2">
      <c r="B100" s="40">
        <v>45781</v>
      </c>
      <c r="C100" s="41" t="s">
        <v>22</v>
      </c>
      <c r="D100" s="42"/>
      <c r="E100" s="5"/>
      <c r="F100" s="5"/>
      <c r="G100" s="5"/>
      <c r="J100" s="5"/>
    </row>
    <row r="101" spans="2:10" ht="19" x14ac:dyDescent="0.2">
      <c r="B101" s="40">
        <v>45782</v>
      </c>
      <c r="C101" s="41" t="s">
        <v>23</v>
      </c>
      <c r="D101" s="42"/>
      <c r="E101" s="5"/>
      <c r="F101" s="5"/>
      <c r="G101" s="5"/>
      <c r="J101" s="5"/>
    </row>
    <row r="102" spans="2:10" x14ac:dyDescent="0.2">
      <c r="B102" s="40">
        <v>45783</v>
      </c>
      <c r="C102" s="41" t="s">
        <v>41</v>
      </c>
      <c r="D102" s="3"/>
      <c r="E102" s="5"/>
      <c r="F102" s="5"/>
      <c r="J102" s="5"/>
    </row>
    <row r="103" spans="2:10" x14ac:dyDescent="0.2">
      <c r="B103" s="40">
        <v>45859</v>
      </c>
      <c r="C103" s="41" t="s">
        <v>24</v>
      </c>
      <c r="D103" s="3"/>
      <c r="E103" s="5"/>
      <c r="F103" s="5"/>
    </row>
    <row r="104" spans="2:10" x14ac:dyDescent="0.2">
      <c r="B104" s="40">
        <v>45880</v>
      </c>
      <c r="C104" s="41" t="s">
        <v>25</v>
      </c>
      <c r="D104" s="3"/>
      <c r="E104" s="5"/>
      <c r="F104" s="5"/>
    </row>
    <row r="105" spans="2:10" x14ac:dyDescent="0.2">
      <c r="B105" s="40">
        <v>45915</v>
      </c>
      <c r="C105" s="41" t="s">
        <v>26</v>
      </c>
      <c r="D105" s="3"/>
      <c r="E105" s="5"/>
      <c r="F105" s="5"/>
    </row>
    <row r="106" spans="2:10" x14ac:dyDescent="0.2">
      <c r="B106" s="40">
        <v>45923</v>
      </c>
      <c r="C106" s="41" t="s">
        <v>27</v>
      </c>
      <c r="D106" s="3"/>
      <c r="E106" s="5"/>
      <c r="F106" s="5"/>
    </row>
    <row r="107" spans="2:10" x14ac:dyDescent="0.2">
      <c r="B107" s="40">
        <v>45943</v>
      </c>
      <c r="C107" s="41" t="s">
        <v>28</v>
      </c>
      <c r="D107" s="3"/>
      <c r="E107" s="5"/>
      <c r="F107" s="5"/>
    </row>
    <row r="108" spans="2:10" x14ac:dyDescent="0.2">
      <c r="B108" s="40">
        <v>45964</v>
      </c>
      <c r="C108" s="41" t="s">
        <v>29</v>
      </c>
      <c r="D108" s="3"/>
      <c r="E108" s="5"/>
      <c r="F108" s="5"/>
    </row>
    <row r="109" spans="2:10" x14ac:dyDescent="0.2">
      <c r="B109" s="40">
        <v>45984</v>
      </c>
      <c r="C109" s="41" t="s">
        <v>30</v>
      </c>
      <c r="D109" s="3"/>
      <c r="E109" s="5"/>
      <c r="F109" s="5"/>
    </row>
    <row r="110" spans="2:10" x14ac:dyDescent="0.2">
      <c r="B110" s="40">
        <v>45985</v>
      </c>
      <c r="C110" s="41" t="s">
        <v>41</v>
      </c>
      <c r="D110" s="3"/>
      <c r="E110" s="5"/>
      <c r="F110" s="5"/>
    </row>
    <row r="111" spans="2:10" x14ac:dyDescent="0.2">
      <c r="B111" s="40">
        <v>46023</v>
      </c>
      <c r="C111" s="41" t="s">
        <v>15</v>
      </c>
      <c r="D111" s="3"/>
      <c r="E111" s="5"/>
      <c r="F111" s="5"/>
    </row>
    <row r="112" spans="2:10" x14ac:dyDescent="0.2">
      <c r="B112" s="40">
        <v>46034</v>
      </c>
      <c r="C112" s="41" t="s">
        <v>16</v>
      </c>
      <c r="D112" s="3"/>
      <c r="E112" s="5"/>
      <c r="F112" s="5"/>
    </row>
    <row r="113" spans="2:6" x14ac:dyDescent="0.2">
      <c r="B113" s="40">
        <v>46064</v>
      </c>
      <c r="C113" s="41" t="s">
        <v>17</v>
      </c>
      <c r="D113" s="3"/>
      <c r="E113" s="5"/>
      <c r="F113" s="5"/>
    </row>
    <row r="114" spans="2:6" x14ac:dyDescent="0.2">
      <c r="B114" s="40">
        <v>46076</v>
      </c>
      <c r="C114" s="41" t="s">
        <v>18</v>
      </c>
      <c r="D114" s="3"/>
      <c r="E114" s="5"/>
      <c r="F114" s="5"/>
    </row>
    <row r="115" spans="2:6" x14ac:dyDescent="0.2">
      <c r="B115" s="40">
        <v>46101</v>
      </c>
      <c r="C115" s="41" t="s">
        <v>19</v>
      </c>
      <c r="D115" s="3"/>
      <c r="E115" s="5"/>
      <c r="F115" s="5"/>
    </row>
    <row r="116" spans="2:6" x14ac:dyDescent="0.2">
      <c r="B116" s="40">
        <v>46141</v>
      </c>
      <c r="C116" s="41" t="s">
        <v>20</v>
      </c>
      <c r="D116" s="3"/>
      <c r="E116" s="5"/>
      <c r="F116" s="5"/>
    </row>
    <row r="117" spans="2:6" x14ac:dyDescent="0.2">
      <c r="B117" s="40">
        <v>46145</v>
      </c>
      <c r="C117" s="41" t="s">
        <v>21</v>
      </c>
      <c r="D117" s="3"/>
      <c r="E117" s="5"/>
      <c r="F117" s="5"/>
    </row>
    <row r="118" spans="2:6" x14ac:dyDescent="0.2">
      <c r="B118" s="40">
        <v>46146</v>
      </c>
      <c r="C118" s="41" t="s">
        <v>22</v>
      </c>
      <c r="D118" s="3"/>
      <c r="E118" s="5"/>
      <c r="F118" s="5"/>
    </row>
    <row r="119" spans="2:6" x14ac:dyDescent="0.2">
      <c r="B119" s="40">
        <v>46147</v>
      </c>
      <c r="C119" s="41" t="s">
        <v>23</v>
      </c>
      <c r="D119" s="3"/>
      <c r="E119" s="5"/>
      <c r="F119" s="5"/>
    </row>
    <row r="120" spans="2:6" x14ac:dyDescent="0.2">
      <c r="B120" s="40">
        <v>46148</v>
      </c>
      <c r="C120" s="41" t="s">
        <v>41</v>
      </c>
      <c r="D120" s="3"/>
      <c r="E120" s="5"/>
      <c r="F120" s="5"/>
    </row>
    <row r="121" spans="2:6" x14ac:dyDescent="0.2">
      <c r="B121" s="40">
        <v>46223</v>
      </c>
      <c r="C121" s="41" t="s">
        <v>24</v>
      </c>
      <c r="D121" s="3"/>
      <c r="E121" s="5"/>
      <c r="F121" s="5"/>
    </row>
    <row r="122" spans="2:6" x14ac:dyDescent="0.2">
      <c r="B122" s="40">
        <v>46245</v>
      </c>
      <c r="C122" s="41" t="s">
        <v>25</v>
      </c>
      <c r="D122" s="3"/>
      <c r="E122" s="5"/>
      <c r="F122" s="5"/>
    </row>
    <row r="123" spans="2:6" x14ac:dyDescent="0.2">
      <c r="B123" s="40">
        <v>46286</v>
      </c>
      <c r="C123" s="41" t="s">
        <v>26</v>
      </c>
      <c r="D123" s="3"/>
      <c r="E123" s="5"/>
      <c r="F123" s="5"/>
    </row>
    <row r="124" spans="2:6" x14ac:dyDescent="0.2">
      <c r="B124" s="40">
        <v>46287</v>
      </c>
      <c r="C124" s="41" t="s">
        <v>42</v>
      </c>
      <c r="D124" s="3"/>
      <c r="E124" s="5"/>
      <c r="F124" s="5"/>
    </row>
    <row r="125" spans="2:6" x14ac:dyDescent="0.2">
      <c r="B125" s="40">
        <v>46288</v>
      </c>
      <c r="C125" s="41" t="s">
        <v>27</v>
      </c>
      <c r="D125" s="3"/>
      <c r="E125" s="5"/>
      <c r="F125" s="5"/>
    </row>
    <row r="126" spans="2:6" x14ac:dyDescent="0.2">
      <c r="B126" s="40">
        <v>46307</v>
      </c>
      <c r="C126" s="41" t="s">
        <v>28</v>
      </c>
      <c r="D126" s="3"/>
      <c r="E126" s="5"/>
      <c r="F126" s="5"/>
    </row>
    <row r="127" spans="2:6" x14ac:dyDescent="0.2">
      <c r="B127" s="40">
        <v>46329</v>
      </c>
      <c r="C127" s="41" t="s">
        <v>29</v>
      </c>
      <c r="D127" s="3"/>
      <c r="E127" s="5"/>
      <c r="F127" s="5"/>
    </row>
    <row r="128" spans="2:6" x14ac:dyDescent="0.2">
      <c r="B128" s="40">
        <v>46349</v>
      </c>
      <c r="C128" s="41" t="s">
        <v>30</v>
      </c>
      <c r="D128" s="3"/>
      <c r="E128" s="5"/>
      <c r="F128" s="5"/>
    </row>
    <row r="129" spans="2:6" x14ac:dyDescent="0.2">
      <c r="B129" s="40">
        <v>46388</v>
      </c>
      <c r="C129" s="41" t="s">
        <v>15</v>
      </c>
      <c r="D129" s="3"/>
      <c r="E129" s="5"/>
      <c r="F129" s="5"/>
    </row>
    <row r="130" spans="2:6" x14ac:dyDescent="0.2">
      <c r="B130" s="40">
        <v>46398</v>
      </c>
      <c r="C130" s="41" t="s">
        <v>16</v>
      </c>
      <c r="D130" s="3"/>
      <c r="E130" s="5"/>
      <c r="F130" s="5"/>
    </row>
    <row r="131" spans="2:6" x14ac:dyDescent="0.2">
      <c r="B131" s="40">
        <v>46429</v>
      </c>
      <c r="C131" s="41" t="s">
        <v>17</v>
      </c>
      <c r="D131" s="3"/>
      <c r="E131" s="5"/>
      <c r="F131" s="5"/>
    </row>
    <row r="132" spans="2:6" x14ac:dyDescent="0.2">
      <c r="B132" s="40">
        <v>46441</v>
      </c>
      <c r="C132" s="41" t="s">
        <v>18</v>
      </c>
      <c r="D132" s="3"/>
      <c r="E132" s="5"/>
      <c r="F132" s="5"/>
    </row>
    <row r="133" spans="2:6" x14ac:dyDescent="0.2">
      <c r="B133" s="40">
        <v>46467</v>
      </c>
      <c r="C133" s="41" t="s">
        <v>19</v>
      </c>
      <c r="D133" s="3"/>
      <c r="E133" s="5"/>
      <c r="F133" s="5"/>
    </row>
    <row r="134" spans="2:6" x14ac:dyDescent="0.2">
      <c r="B134" s="40">
        <v>46468</v>
      </c>
      <c r="C134" s="41" t="s">
        <v>41</v>
      </c>
      <c r="D134" s="3"/>
      <c r="E134" s="5"/>
      <c r="F134" s="5"/>
    </row>
    <row r="135" spans="2:6" x14ac:dyDescent="0.2">
      <c r="B135" s="40">
        <v>46506</v>
      </c>
      <c r="C135" s="41" t="s">
        <v>20</v>
      </c>
      <c r="D135" s="3"/>
      <c r="E135" s="5"/>
      <c r="F135" s="5"/>
    </row>
    <row r="136" spans="2:6" x14ac:dyDescent="0.2">
      <c r="B136" s="40">
        <v>46510</v>
      </c>
      <c r="C136" s="41" t="s">
        <v>21</v>
      </c>
      <c r="D136" s="3"/>
      <c r="E136" s="5"/>
      <c r="F136" s="5"/>
    </row>
    <row r="137" spans="2:6" x14ac:dyDescent="0.2">
      <c r="B137" s="40">
        <v>46511</v>
      </c>
      <c r="C137" s="41" t="s">
        <v>22</v>
      </c>
      <c r="D137" s="3"/>
      <c r="E137" s="5"/>
      <c r="F137" s="5"/>
    </row>
    <row r="138" spans="2:6" x14ac:dyDescent="0.2">
      <c r="B138" s="40">
        <v>46512</v>
      </c>
      <c r="C138" s="41" t="s">
        <v>23</v>
      </c>
      <c r="D138" s="3"/>
      <c r="E138" s="5"/>
      <c r="F138" s="5"/>
    </row>
    <row r="139" spans="2:6" x14ac:dyDescent="0.2">
      <c r="B139" s="40">
        <v>46587</v>
      </c>
      <c r="C139" s="41" t="s">
        <v>24</v>
      </c>
      <c r="D139" s="3"/>
      <c r="E139" s="5"/>
      <c r="F139" s="5"/>
    </row>
    <row r="140" spans="2:6" x14ac:dyDescent="0.2">
      <c r="B140" s="40">
        <v>46610</v>
      </c>
      <c r="C140" s="41" t="s">
        <v>25</v>
      </c>
      <c r="D140" s="3"/>
      <c r="E140" s="5"/>
      <c r="F140" s="5"/>
    </row>
    <row r="141" spans="2:6" x14ac:dyDescent="0.2">
      <c r="B141" s="40">
        <v>46650</v>
      </c>
      <c r="C141" s="41" t="s">
        <v>26</v>
      </c>
      <c r="D141" s="3"/>
      <c r="E141" s="5"/>
      <c r="F141" s="5"/>
    </row>
    <row r="142" spans="2:6" x14ac:dyDescent="0.2">
      <c r="B142" s="40">
        <v>46653</v>
      </c>
      <c r="C142" s="41" t="s">
        <v>27</v>
      </c>
      <c r="D142" s="3"/>
      <c r="E142" s="5"/>
      <c r="F142" s="5"/>
    </row>
    <row r="143" spans="2:6" x14ac:dyDescent="0.2">
      <c r="B143" s="40">
        <v>46671</v>
      </c>
      <c r="C143" s="41" t="s">
        <v>28</v>
      </c>
      <c r="D143" s="3"/>
      <c r="E143" s="5"/>
      <c r="F143" s="5"/>
    </row>
    <row r="144" spans="2:6" x14ac:dyDescent="0.2">
      <c r="B144" s="40">
        <v>46694</v>
      </c>
      <c r="C144" s="41" t="s">
        <v>29</v>
      </c>
      <c r="D144" s="3"/>
      <c r="E144" s="5"/>
      <c r="F144" s="5"/>
    </row>
    <row r="145" spans="2:6" x14ac:dyDescent="0.2">
      <c r="B145" s="40">
        <v>46714</v>
      </c>
      <c r="C145" s="41" t="s">
        <v>30</v>
      </c>
      <c r="D145" s="3"/>
      <c r="E145" s="5"/>
      <c r="F145" s="5"/>
    </row>
    <row r="146" spans="2:6" x14ac:dyDescent="0.2">
      <c r="B146" s="40">
        <v>46753</v>
      </c>
      <c r="C146" s="41" t="s">
        <v>15</v>
      </c>
      <c r="D146" s="3"/>
      <c r="E146" s="5"/>
      <c r="F146" s="5"/>
    </row>
    <row r="147" spans="2:6" x14ac:dyDescent="0.2">
      <c r="B147" s="40">
        <v>46762</v>
      </c>
      <c r="C147" s="41" t="s">
        <v>16</v>
      </c>
      <c r="D147" s="3"/>
      <c r="E147" s="5"/>
      <c r="F147" s="5"/>
    </row>
    <row r="148" spans="2:6" x14ac:dyDescent="0.2">
      <c r="B148" s="40">
        <v>46794</v>
      </c>
      <c r="C148" s="41" t="s">
        <v>17</v>
      </c>
      <c r="D148" s="3"/>
      <c r="E148" s="5"/>
      <c r="F148" s="5"/>
    </row>
    <row r="149" spans="2:6" x14ac:dyDescent="0.2">
      <c r="B149" s="40">
        <v>46806</v>
      </c>
      <c r="C149" s="41" t="s">
        <v>18</v>
      </c>
      <c r="D149" s="3"/>
      <c r="E149" s="5"/>
      <c r="F149" s="5"/>
    </row>
    <row r="150" spans="2:6" x14ac:dyDescent="0.2">
      <c r="B150" s="40">
        <v>46832</v>
      </c>
      <c r="C150" s="41" t="s">
        <v>19</v>
      </c>
      <c r="D150" s="3"/>
      <c r="E150" s="5"/>
      <c r="F150" s="5"/>
    </row>
    <row r="151" spans="2:6" x14ac:dyDescent="0.2">
      <c r="B151" s="40">
        <v>46872</v>
      </c>
      <c r="C151" s="41" t="s">
        <v>20</v>
      </c>
      <c r="D151" s="3"/>
      <c r="E151" s="5"/>
      <c r="F151" s="5"/>
    </row>
    <row r="152" spans="2:6" x14ac:dyDescent="0.2">
      <c r="B152" s="40">
        <v>46876</v>
      </c>
      <c r="C152" s="41" t="s">
        <v>21</v>
      </c>
      <c r="D152" s="3"/>
      <c r="E152" s="5"/>
      <c r="F152" s="5"/>
    </row>
    <row r="153" spans="2:6" x14ac:dyDescent="0.2">
      <c r="B153" s="40">
        <v>46877</v>
      </c>
      <c r="C153" s="41" t="s">
        <v>22</v>
      </c>
      <c r="D153" s="3"/>
      <c r="E153" s="5"/>
      <c r="F153" s="5"/>
    </row>
    <row r="154" spans="2:6" x14ac:dyDescent="0.2">
      <c r="B154" s="40">
        <v>46878</v>
      </c>
      <c r="C154" s="41" t="s">
        <v>23</v>
      </c>
      <c r="D154" s="3"/>
      <c r="E154" s="5"/>
      <c r="F154" s="5"/>
    </row>
    <row r="155" spans="2:6" x14ac:dyDescent="0.2">
      <c r="B155" s="40">
        <v>46951</v>
      </c>
      <c r="C155" s="41" t="s">
        <v>24</v>
      </c>
      <c r="D155" s="3"/>
      <c r="E155" s="5"/>
      <c r="F155" s="5"/>
    </row>
    <row r="156" spans="2:6" x14ac:dyDescent="0.2">
      <c r="B156" s="40">
        <v>46976</v>
      </c>
      <c r="C156" s="41" t="s">
        <v>25</v>
      </c>
      <c r="D156" s="3"/>
      <c r="E156" s="5"/>
      <c r="F156" s="5"/>
    </row>
    <row r="157" spans="2:6" x14ac:dyDescent="0.2">
      <c r="B157" s="40">
        <v>47014</v>
      </c>
      <c r="C157" s="41" t="s">
        <v>26</v>
      </c>
      <c r="D157" s="3"/>
      <c r="E157" s="5"/>
      <c r="F157" s="5"/>
    </row>
    <row r="158" spans="2:6" x14ac:dyDescent="0.2">
      <c r="B158" s="40">
        <v>47018</v>
      </c>
      <c r="C158" s="41" t="s">
        <v>27</v>
      </c>
      <c r="D158" s="3"/>
      <c r="E158" s="5"/>
      <c r="F158" s="5"/>
    </row>
    <row r="159" spans="2:6" x14ac:dyDescent="0.2">
      <c r="B159" s="40">
        <v>47035</v>
      </c>
      <c r="C159" s="41" t="s">
        <v>28</v>
      </c>
      <c r="D159" s="3"/>
      <c r="E159" s="5"/>
      <c r="F159" s="5"/>
    </row>
    <row r="160" spans="2:6" x14ac:dyDescent="0.2">
      <c r="B160" s="40">
        <v>47060</v>
      </c>
      <c r="C160" s="41" t="s">
        <v>29</v>
      </c>
      <c r="D160" s="3"/>
      <c r="E160" s="5"/>
      <c r="F160" s="5"/>
    </row>
    <row r="161" spans="2:6" x14ac:dyDescent="0.2">
      <c r="B161" s="40">
        <v>47080</v>
      </c>
      <c r="C161" s="41" t="s">
        <v>30</v>
      </c>
      <c r="D161" s="3"/>
      <c r="E161" s="5"/>
      <c r="F161" s="5"/>
    </row>
    <row r="162" spans="2:6" x14ac:dyDescent="0.2">
      <c r="B162" s="40">
        <v>47119</v>
      </c>
      <c r="C162" s="41" t="s">
        <v>15</v>
      </c>
      <c r="D162" s="3"/>
      <c r="E162" s="5"/>
      <c r="F162" s="5"/>
    </row>
    <row r="163" spans="2:6" x14ac:dyDescent="0.2">
      <c r="B163" s="40">
        <v>47126</v>
      </c>
      <c r="C163" s="41" t="s">
        <v>16</v>
      </c>
      <c r="D163" s="3"/>
      <c r="E163" s="5"/>
      <c r="F163" s="5"/>
    </row>
    <row r="164" spans="2:6" x14ac:dyDescent="0.2">
      <c r="B164" s="40">
        <v>47160</v>
      </c>
      <c r="C164" s="41" t="s">
        <v>17</v>
      </c>
      <c r="D164" s="3"/>
      <c r="E164" s="5"/>
      <c r="F164" s="5"/>
    </row>
    <row r="165" spans="2:6" x14ac:dyDescent="0.2">
      <c r="B165" s="40">
        <v>47161</v>
      </c>
      <c r="C165" s="41" t="s">
        <v>41</v>
      </c>
      <c r="D165" s="3"/>
      <c r="E165" s="5"/>
      <c r="F165" s="5"/>
    </row>
    <row r="166" spans="2:6" x14ac:dyDescent="0.2">
      <c r="B166" s="40">
        <v>47172</v>
      </c>
      <c r="C166" s="41" t="s">
        <v>18</v>
      </c>
      <c r="D166" s="3"/>
      <c r="E166" s="5"/>
      <c r="F166" s="5"/>
    </row>
    <row r="167" spans="2:6" x14ac:dyDescent="0.2">
      <c r="B167" s="40">
        <v>47197</v>
      </c>
      <c r="C167" s="41" t="s">
        <v>19</v>
      </c>
      <c r="D167" s="3"/>
      <c r="E167" s="5"/>
      <c r="F167" s="5"/>
    </row>
    <row r="168" spans="2:6" x14ac:dyDescent="0.2">
      <c r="B168" s="40">
        <v>47237</v>
      </c>
      <c r="C168" s="41" t="s">
        <v>20</v>
      </c>
      <c r="D168" s="3"/>
      <c r="E168" s="5"/>
      <c r="F168" s="5"/>
    </row>
    <row r="169" spans="2:6" x14ac:dyDescent="0.2">
      <c r="B169" s="40">
        <v>47238</v>
      </c>
      <c r="C169" s="41" t="s">
        <v>41</v>
      </c>
      <c r="D169" s="3"/>
      <c r="E169" s="5"/>
      <c r="F169" s="5"/>
    </row>
    <row r="170" spans="2:6" x14ac:dyDescent="0.2">
      <c r="B170" s="40">
        <v>47241</v>
      </c>
      <c r="C170" s="41" t="s">
        <v>21</v>
      </c>
      <c r="D170" s="3"/>
      <c r="E170" s="5"/>
      <c r="F170" s="5"/>
    </row>
    <row r="171" spans="2:6" x14ac:dyDescent="0.2">
      <c r="B171" s="40">
        <v>47242</v>
      </c>
      <c r="C171" s="41" t="s">
        <v>22</v>
      </c>
      <c r="D171" s="3"/>
      <c r="E171" s="5"/>
      <c r="F171" s="5"/>
    </row>
    <row r="172" spans="2:6" x14ac:dyDescent="0.2">
      <c r="B172" s="40">
        <v>47243</v>
      </c>
      <c r="C172" s="41" t="s">
        <v>23</v>
      </c>
      <c r="D172" s="3"/>
      <c r="E172" s="5"/>
      <c r="F172" s="5"/>
    </row>
    <row r="173" spans="2:6" x14ac:dyDescent="0.2">
      <c r="B173" s="40">
        <v>47315</v>
      </c>
      <c r="C173" s="41" t="s">
        <v>24</v>
      </c>
      <c r="D173" s="3"/>
      <c r="E173" s="5"/>
      <c r="F173" s="5"/>
    </row>
    <row r="174" spans="2:6" x14ac:dyDescent="0.2">
      <c r="B174" s="40">
        <v>47341</v>
      </c>
      <c r="C174" s="41" t="s">
        <v>25</v>
      </c>
      <c r="D174" s="3"/>
      <c r="E174" s="5"/>
      <c r="F174" s="5"/>
    </row>
    <row r="175" spans="2:6" x14ac:dyDescent="0.2">
      <c r="B175" s="40">
        <v>47378</v>
      </c>
      <c r="C175" s="41" t="s">
        <v>26</v>
      </c>
      <c r="D175" s="3"/>
      <c r="E175" s="5"/>
      <c r="F175" s="5"/>
    </row>
    <row r="176" spans="2:6" x14ac:dyDescent="0.2">
      <c r="B176" s="40">
        <v>47384</v>
      </c>
      <c r="C176" s="41" t="s">
        <v>27</v>
      </c>
      <c r="D176" s="3"/>
      <c r="E176" s="5"/>
      <c r="F176" s="5"/>
    </row>
    <row r="177" spans="2:6" x14ac:dyDescent="0.2">
      <c r="B177" s="40">
        <v>47385</v>
      </c>
      <c r="C177" s="41" t="s">
        <v>41</v>
      </c>
      <c r="D177" s="3"/>
      <c r="E177" s="5"/>
      <c r="F177" s="5"/>
    </row>
    <row r="178" spans="2:6" x14ac:dyDescent="0.2">
      <c r="B178" s="40">
        <v>47399</v>
      </c>
      <c r="C178" s="41" t="s">
        <v>28</v>
      </c>
      <c r="D178" s="3"/>
      <c r="E178" s="5"/>
      <c r="F178" s="5"/>
    </row>
    <row r="179" spans="2:6" x14ac:dyDescent="0.2">
      <c r="B179" s="40">
        <v>47425</v>
      </c>
      <c r="C179" s="41" t="s">
        <v>29</v>
      </c>
      <c r="D179" s="3"/>
      <c r="E179" s="5"/>
      <c r="F179" s="5"/>
    </row>
    <row r="180" spans="2:6" x14ac:dyDescent="0.2">
      <c r="B180" s="40">
        <v>47445</v>
      </c>
      <c r="C180" s="41" t="s">
        <v>30</v>
      </c>
      <c r="D180" s="3"/>
      <c r="E180" s="5"/>
      <c r="F180" s="5"/>
    </row>
    <row r="181" spans="2:6" x14ac:dyDescent="0.2">
      <c r="B181" s="40">
        <v>47484</v>
      </c>
      <c r="C181" s="41" t="s">
        <v>15</v>
      </c>
      <c r="D181" s="3"/>
      <c r="E181" s="5"/>
      <c r="F181" s="5"/>
    </row>
    <row r="182" spans="2:6" x14ac:dyDescent="0.2">
      <c r="B182" s="40">
        <v>47497</v>
      </c>
      <c r="C182" s="41" t="s">
        <v>16</v>
      </c>
      <c r="D182" s="3"/>
      <c r="E182" s="5"/>
      <c r="F182" s="5"/>
    </row>
    <row r="183" spans="2:6" x14ac:dyDescent="0.2">
      <c r="B183" s="40">
        <v>47525</v>
      </c>
      <c r="C183" s="41" t="s">
        <v>17</v>
      </c>
      <c r="D183" s="3"/>
      <c r="E183" s="5"/>
      <c r="F183" s="5"/>
    </row>
    <row r="184" spans="2:6" x14ac:dyDescent="0.2">
      <c r="B184" s="40">
        <v>47537</v>
      </c>
      <c r="C184" s="41" t="s">
        <v>18</v>
      </c>
      <c r="D184" s="3"/>
      <c r="E184" s="5"/>
      <c r="F184" s="5"/>
    </row>
    <row r="185" spans="2:6" x14ac:dyDescent="0.2">
      <c r="B185" s="40">
        <v>47562</v>
      </c>
      <c r="C185" s="41" t="s">
        <v>19</v>
      </c>
      <c r="D185" s="3"/>
      <c r="E185" s="5"/>
      <c r="F185" s="5"/>
    </row>
    <row r="186" spans="2:6" x14ac:dyDescent="0.2">
      <c r="B186" s="40">
        <v>47602</v>
      </c>
      <c r="C186" s="41" t="s">
        <v>20</v>
      </c>
      <c r="D186" s="3"/>
      <c r="E186" s="5"/>
      <c r="F186" s="5"/>
    </row>
    <row r="187" spans="2:6" x14ac:dyDescent="0.2">
      <c r="B187" s="40">
        <v>47606</v>
      </c>
      <c r="C187" s="41" t="s">
        <v>21</v>
      </c>
      <c r="D187" s="3"/>
      <c r="E187" s="5"/>
      <c r="F187" s="5"/>
    </row>
    <row r="188" spans="2:6" x14ac:dyDescent="0.2">
      <c r="B188" s="40">
        <v>47607</v>
      </c>
      <c r="C188" s="41" t="s">
        <v>22</v>
      </c>
      <c r="D188" s="3"/>
      <c r="E188" s="5"/>
      <c r="F188" s="5"/>
    </row>
    <row r="189" spans="2:6" x14ac:dyDescent="0.2">
      <c r="B189" s="40">
        <v>47608</v>
      </c>
      <c r="C189" s="41" t="s">
        <v>23</v>
      </c>
      <c r="D189" s="3"/>
      <c r="E189" s="5"/>
      <c r="F189" s="5"/>
    </row>
    <row r="190" spans="2:6" x14ac:dyDescent="0.2">
      <c r="B190" s="40">
        <v>47609</v>
      </c>
      <c r="C190" s="41" t="s">
        <v>41</v>
      </c>
      <c r="D190" s="3"/>
      <c r="E190" s="5"/>
      <c r="F190" s="5"/>
    </row>
    <row r="191" spans="2:6" x14ac:dyDescent="0.2">
      <c r="B191" s="40">
        <v>47679</v>
      </c>
      <c r="C191" s="41" t="s">
        <v>24</v>
      </c>
      <c r="D191" s="3"/>
      <c r="E191" s="5"/>
      <c r="F191" s="5"/>
    </row>
    <row r="192" spans="2:6" x14ac:dyDescent="0.2">
      <c r="B192" s="40">
        <v>47706</v>
      </c>
      <c r="C192" s="41" t="s">
        <v>25</v>
      </c>
      <c r="D192" s="3"/>
      <c r="E192" s="5"/>
      <c r="F192" s="5"/>
    </row>
    <row r="193" spans="2:6" x14ac:dyDescent="0.2">
      <c r="B193" s="40">
        <v>47707</v>
      </c>
      <c r="C193" s="41" t="s">
        <v>41</v>
      </c>
      <c r="D193" s="3"/>
      <c r="E193" s="5"/>
      <c r="F193" s="5"/>
    </row>
    <row r="194" spans="2:6" x14ac:dyDescent="0.2">
      <c r="B194" s="40">
        <v>47742</v>
      </c>
      <c r="C194" s="41" t="s">
        <v>26</v>
      </c>
      <c r="D194" s="3"/>
      <c r="E194" s="5"/>
      <c r="F194" s="5"/>
    </row>
    <row r="195" spans="2:6" x14ac:dyDescent="0.2">
      <c r="B195" s="40">
        <v>47749</v>
      </c>
      <c r="C195" s="41" t="s">
        <v>27</v>
      </c>
      <c r="D195" s="3"/>
      <c r="E195" s="5"/>
      <c r="F195" s="5"/>
    </row>
    <row r="196" spans="2:6" x14ac:dyDescent="0.2">
      <c r="B196" s="40">
        <v>47770</v>
      </c>
      <c r="C196" s="41" t="s">
        <v>28</v>
      </c>
      <c r="D196" s="3"/>
      <c r="E196" s="5"/>
      <c r="F196" s="5"/>
    </row>
    <row r="197" spans="2:6" x14ac:dyDescent="0.2">
      <c r="B197" s="40">
        <v>47790</v>
      </c>
      <c r="C197" s="41" t="s">
        <v>29</v>
      </c>
      <c r="D197" s="3"/>
      <c r="E197" s="5"/>
      <c r="F197" s="5"/>
    </row>
    <row r="198" spans="2:6" x14ac:dyDescent="0.2">
      <c r="B198" s="40">
        <v>47791</v>
      </c>
      <c r="C198" s="41" t="s">
        <v>41</v>
      </c>
      <c r="D198" s="3"/>
      <c r="E198" s="5"/>
      <c r="F198" s="5"/>
    </row>
    <row r="199" spans="2:6" x14ac:dyDescent="0.2">
      <c r="B199" s="40">
        <v>47810</v>
      </c>
      <c r="C199" s="41" t="s">
        <v>30</v>
      </c>
      <c r="D199" s="3"/>
      <c r="E199" s="5"/>
      <c r="F199" s="5"/>
    </row>
    <row r="200" spans="2:6" x14ac:dyDescent="0.2">
      <c r="B200" s="40">
        <v>47849</v>
      </c>
      <c r="C200" s="41" t="s">
        <v>15</v>
      </c>
      <c r="D200" s="3"/>
      <c r="E200" s="5"/>
      <c r="F200" s="5"/>
    </row>
    <row r="201" spans="2:6" x14ac:dyDescent="0.2">
      <c r="B201" s="40">
        <v>47861</v>
      </c>
      <c r="C201" s="41" t="s">
        <v>16</v>
      </c>
      <c r="D201" s="3"/>
      <c r="E201" s="5"/>
      <c r="F201" s="5"/>
    </row>
    <row r="202" spans="2:6" x14ac:dyDescent="0.2">
      <c r="B202" s="40">
        <v>47890</v>
      </c>
      <c r="C202" s="41" t="s">
        <v>17</v>
      </c>
      <c r="D202" s="3"/>
      <c r="E202" s="5"/>
      <c r="F202" s="5"/>
    </row>
    <row r="203" spans="2:6" x14ac:dyDescent="0.2">
      <c r="B203" s="40">
        <v>47902</v>
      </c>
      <c r="C203" s="41" t="s">
        <v>18</v>
      </c>
      <c r="D203" s="3"/>
      <c r="E203" s="5"/>
      <c r="F203" s="5"/>
    </row>
    <row r="204" spans="2:6" x14ac:dyDescent="0.2">
      <c r="B204" s="40">
        <v>47903</v>
      </c>
      <c r="C204" s="41" t="s">
        <v>41</v>
      </c>
      <c r="D204" s="3"/>
      <c r="E204" s="5"/>
      <c r="F204" s="5"/>
    </row>
    <row r="205" spans="2:6" x14ac:dyDescent="0.2">
      <c r="B205" s="40">
        <v>47928</v>
      </c>
      <c r="C205" s="41" t="s">
        <v>19</v>
      </c>
      <c r="D205" s="3"/>
      <c r="E205" s="5"/>
      <c r="F205" s="5"/>
    </row>
    <row r="206" spans="2:6" x14ac:dyDescent="0.2">
      <c r="B206" s="40">
        <v>47967</v>
      </c>
      <c r="C206" s="41" t="s">
        <v>20</v>
      </c>
      <c r="D206" s="3"/>
      <c r="E206" s="5"/>
      <c r="F206" s="5"/>
    </row>
    <row r="207" spans="2:6" x14ac:dyDescent="0.2">
      <c r="B207" s="40">
        <v>47971</v>
      </c>
      <c r="C207" s="41" t="s">
        <v>21</v>
      </c>
      <c r="D207" s="3"/>
      <c r="E207" s="5"/>
      <c r="F207" s="5"/>
    </row>
    <row r="208" spans="2:6" x14ac:dyDescent="0.2">
      <c r="B208" s="40">
        <v>47972</v>
      </c>
      <c r="C208" s="41" t="s">
        <v>22</v>
      </c>
      <c r="D208" s="3"/>
      <c r="E208" s="5"/>
      <c r="F208" s="5"/>
    </row>
    <row r="209" spans="2:6" x14ac:dyDescent="0.2">
      <c r="B209" s="40">
        <v>47973</v>
      </c>
      <c r="C209" s="41" t="s">
        <v>23</v>
      </c>
      <c r="D209" s="3"/>
      <c r="E209" s="5"/>
      <c r="F209" s="5"/>
    </row>
    <row r="210" spans="2:6" x14ac:dyDescent="0.2">
      <c r="B210" s="40">
        <v>47974</v>
      </c>
      <c r="C210" s="41" t="s">
        <v>41</v>
      </c>
      <c r="D210" s="3"/>
      <c r="E210" s="5"/>
      <c r="F210" s="5"/>
    </row>
    <row r="211" spans="2:6" x14ac:dyDescent="0.2">
      <c r="B211" s="40">
        <v>48050</v>
      </c>
      <c r="C211" s="41" t="s">
        <v>24</v>
      </c>
      <c r="D211" s="3"/>
      <c r="E211" s="5"/>
      <c r="F211" s="5"/>
    </row>
    <row r="212" spans="2:6" x14ac:dyDescent="0.2">
      <c r="B212" s="40">
        <v>48071</v>
      </c>
      <c r="C212" s="41" t="s">
        <v>25</v>
      </c>
      <c r="D212" s="3"/>
      <c r="E212" s="5"/>
      <c r="F212" s="5"/>
    </row>
    <row r="213" spans="2:6" x14ac:dyDescent="0.2">
      <c r="B213" s="40">
        <v>48106</v>
      </c>
      <c r="C213" s="41" t="s">
        <v>26</v>
      </c>
      <c r="D213" s="3"/>
      <c r="E213" s="5"/>
      <c r="F213" s="5"/>
    </row>
    <row r="214" spans="2:6" x14ac:dyDescent="0.2">
      <c r="B214" s="40">
        <v>48114</v>
      </c>
      <c r="C214" s="41" t="s">
        <v>27</v>
      </c>
      <c r="D214" s="3"/>
      <c r="E214" s="5"/>
      <c r="F214" s="5"/>
    </row>
    <row r="215" spans="2:6" x14ac:dyDescent="0.2">
      <c r="B215" s="40">
        <v>48134</v>
      </c>
      <c r="C215" s="41" t="s">
        <v>28</v>
      </c>
      <c r="D215" s="3"/>
      <c r="E215" s="5"/>
      <c r="F215" s="5"/>
    </row>
    <row r="216" spans="2:6" x14ac:dyDescent="0.2">
      <c r="B216" s="40">
        <v>48155</v>
      </c>
      <c r="C216" s="41" t="s">
        <v>29</v>
      </c>
      <c r="D216" s="3"/>
      <c r="E216" s="5"/>
      <c r="F216" s="5"/>
    </row>
    <row r="217" spans="2:6" x14ac:dyDescent="0.2">
      <c r="B217" s="40">
        <v>48175</v>
      </c>
      <c r="C217" s="41" t="s">
        <v>30</v>
      </c>
      <c r="D217" s="3"/>
      <c r="E217" s="5"/>
      <c r="F217" s="5"/>
    </row>
    <row r="218" spans="2:6" x14ac:dyDescent="0.2">
      <c r="B218" s="40">
        <v>48176</v>
      </c>
      <c r="C218" s="41" t="s">
        <v>41</v>
      </c>
      <c r="D218" s="3"/>
      <c r="E218" s="5"/>
      <c r="F218" s="5"/>
    </row>
    <row r="219" spans="2:6" x14ac:dyDescent="0.2">
      <c r="B219" s="40">
        <v>48214</v>
      </c>
      <c r="C219" s="41" t="s">
        <v>15</v>
      </c>
      <c r="D219" s="3"/>
      <c r="E219" s="5"/>
      <c r="F219" s="5"/>
    </row>
    <row r="220" spans="2:6" x14ac:dyDescent="0.2">
      <c r="B220" s="40">
        <v>48225</v>
      </c>
      <c r="C220" s="41" t="s">
        <v>16</v>
      </c>
      <c r="D220" s="3"/>
      <c r="E220" s="5"/>
      <c r="F220" s="5"/>
    </row>
    <row r="221" spans="2:6" x14ac:dyDescent="0.2">
      <c r="B221" s="40">
        <v>48255</v>
      </c>
      <c r="C221" s="41" t="s">
        <v>17</v>
      </c>
      <c r="D221" s="3"/>
      <c r="E221" s="5"/>
      <c r="F221" s="5"/>
    </row>
    <row r="222" spans="2:6" x14ac:dyDescent="0.2">
      <c r="B222" s="40">
        <v>48267</v>
      </c>
      <c r="C222" s="41" t="s">
        <v>18</v>
      </c>
      <c r="D222" s="3"/>
      <c r="E222" s="5"/>
      <c r="F222" s="5"/>
    </row>
    <row r="223" spans="2:6" x14ac:dyDescent="0.2">
      <c r="B223" s="40">
        <v>48293</v>
      </c>
      <c r="C223" s="41" t="s">
        <v>19</v>
      </c>
      <c r="D223" s="3"/>
      <c r="E223" s="5"/>
      <c r="F223" s="5"/>
    </row>
    <row r="224" spans="2:6" x14ac:dyDescent="0.2">
      <c r="B224" s="40">
        <v>48333</v>
      </c>
      <c r="C224" s="41" t="s">
        <v>20</v>
      </c>
      <c r="D224" s="3"/>
      <c r="E224" s="5"/>
      <c r="F224" s="5"/>
    </row>
    <row r="225" spans="2:6" x14ac:dyDescent="0.2">
      <c r="B225" s="40">
        <v>48337</v>
      </c>
      <c r="C225" s="41" t="s">
        <v>21</v>
      </c>
      <c r="D225" s="3"/>
      <c r="E225" s="5"/>
      <c r="F225" s="5"/>
    </row>
    <row r="226" spans="2:6" x14ac:dyDescent="0.2">
      <c r="B226" s="40">
        <v>48338</v>
      </c>
      <c r="C226" s="41" t="s">
        <v>22</v>
      </c>
      <c r="D226" s="3"/>
      <c r="E226" s="5"/>
      <c r="F226" s="5"/>
    </row>
    <row r="227" spans="2:6" x14ac:dyDescent="0.2">
      <c r="B227" s="40">
        <v>48339</v>
      </c>
      <c r="C227" s="41" t="s">
        <v>23</v>
      </c>
      <c r="D227" s="3"/>
      <c r="E227" s="5"/>
      <c r="F227" s="5"/>
    </row>
    <row r="228" spans="2:6" x14ac:dyDescent="0.2">
      <c r="B228" s="40">
        <v>48414</v>
      </c>
      <c r="C228" s="41" t="s">
        <v>24</v>
      </c>
      <c r="D228" s="3"/>
      <c r="E228" s="5"/>
      <c r="F228" s="5"/>
    </row>
    <row r="229" spans="2:6" x14ac:dyDescent="0.2">
      <c r="B229" s="40">
        <v>48437</v>
      </c>
      <c r="C229" s="41" t="s">
        <v>25</v>
      </c>
      <c r="D229" s="3"/>
      <c r="E229" s="5"/>
      <c r="F229" s="5"/>
    </row>
    <row r="230" spans="2:6" x14ac:dyDescent="0.2">
      <c r="B230" s="40">
        <v>48477</v>
      </c>
      <c r="C230" s="41" t="s">
        <v>26</v>
      </c>
      <c r="D230" s="3"/>
      <c r="E230" s="5"/>
      <c r="F230" s="5"/>
    </row>
    <row r="231" spans="2:6" x14ac:dyDescent="0.2">
      <c r="B231" s="40">
        <v>48478</v>
      </c>
      <c r="C231" s="41" t="s">
        <v>42</v>
      </c>
      <c r="D231" s="3"/>
      <c r="E231" s="5"/>
      <c r="F231" s="5"/>
    </row>
    <row r="232" spans="2:6" x14ac:dyDescent="0.2">
      <c r="B232" s="40">
        <v>48479</v>
      </c>
      <c r="C232" s="41" t="s">
        <v>27</v>
      </c>
      <c r="D232" s="3"/>
      <c r="E232" s="5"/>
      <c r="F232" s="5"/>
    </row>
    <row r="233" spans="2:6" x14ac:dyDescent="0.2">
      <c r="B233" s="40">
        <v>48498</v>
      </c>
      <c r="C233" s="41" t="s">
        <v>28</v>
      </c>
      <c r="D233" s="3"/>
      <c r="E233" s="5"/>
      <c r="F233" s="5"/>
    </row>
    <row r="234" spans="2:6" x14ac:dyDescent="0.2">
      <c r="B234" s="40">
        <v>48521</v>
      </c>
      <c r="C234" s="41" t="s">
        <v>29</v>
      </c>
      <c r="D234" s="3"/>
      <c r="E234" s="5"/>
      <c r="F234" s="5"/>
    </row>
    <row r="235" spans="2:6" x14ac:dyDescent="0.2">
      <c r="B235" s="40">
        <v>48541</v>
      </c>
      <c r="C235" s="41" t="s">
        <v>30</v>
      </c>
      <c r="D235" s="3"/>
      <c r="E235" s="5"/>
      <c r="F235" s="5"/>
    </row>
    <row r="236" spans="2:6" x14ac:dyDescent="0.2">
      <c r="B236" s="40">
        <v>48580</v>
      </c>
      <c r="C236" s="41" t="s">
        <v>15</v>
      </c>
      <c r="D236" s="3"/>
      <c r="E236" s="5"/>
      <c r="F236" s="5"/>
    </row>
    <row r="237" spans="2:6" x14ac:dyDescent="0.2">
      <c r="B237" s="40">
        <v>48589</v>
      </c>
      <c r="C237" s="41" t="s">
        <v>16</v>
      </c>
      <c r="D237" s="3"/>
      <c r="E237" s="5"/>
      <c r="F237" s="5"/>
    </row>
    <row r="238" spans="2:6" x14ac:dyDescent="0.2">
      <c r="B238" s="40">
        <v>48621</v>
      </c>
      <c r="C238" s="41" t="s">
        <v>17</v>
      </c>
      <c r="D238" s="3"/>
      <c r="E238" s="5"/>
      <c r="F238" s="5"/>
    </row>
    <row r="239" spans="2:6" x14ac:dyDescent="0.2">
      <c r="B239" s="40">
        <v>48633</v>
      </c>
      <c r="C239" s="41" t="s">
        <v>18</v>
      </c>
      <c r="D239" s="3"/>
      <c r="E239" s="5"/>
      <c r="F239" s="5"/>
    </row>
    <row r="240" spans="2:6" x14ac:dyDescent="0.2">
      <c r="B240" s="40">
        <v>48658</v>
      </c>
      <c r="C240" s="41" t="s">
        <v>19</v>
      </c>
      <c r="D240" s="3"/>
      <c r="E240" s="5"/>
      <c r="F240" s="5"/>
    </row>
    <row r="241" spans="2:6" x14ac:dyDescent="0.2">
      <c r="B241" s="40">
        <v>48659</v>
      </c>
      <c r="C241" s="41" t="s">
        <v>41</v>
      </c>
      <c r="D241" s="3"/>
      <c r="E241" s="5"/>
      <c r="F241" s="5"/>
    </row>
    <row r="242" spans="2:6" x14ac:dyDescent="0.2">
      <c r="B242" s="40">
        <v>48698</v>
      </c>
      <c r="C242" s="41" t="s">
        <v>20</v>
      </c>
      <c r="D242" s="3"/>
      <c r="E242" s="5"/>
      <c r="F242" s="5"/>
    </row>
    <row r="243" spans="2:6" x14ac:dyDescent="0.2">
      <c r="B243" s="40">
        <v>48702</v>
      </c>
      <c r="C243" s="41" t="s">
        <v>21</v>
      </c>
      <c r="D243" s="3"/>
      <c r="E243" s="5"/>
      <c r="F243" s="5"/>
    </row>
    <row r="244" spans="2:6" x14ac:dyDescent="0.2">
      <c r="B244" s="40">
        <v>48703</v>
      </c>
      <c r="C244" s="41" t="s">
        <v>22</v>
      </c>
      <c r="D244" s="3"/>
      <c r="E244" s="5"/>
      <c r="F244" s="5"/>
    </row>
    <row r="245" spans="2:6" x14ac:dyDescent="0.2">
      <c r="B245" s="40">
        <v>48704</v>
      </c>
      <c r="C245" s="41" t="s">
        <v>23</v>
      </c>
      <c r="D245" s="3"/>
      <c r="E245" s="5"/>
      <c r="F245" s="5"/>
    </row>
    <row r="246" spans="2:6" x14ac:dyDescent="0.2">
      <c r="B246" s="40">
        <v>48778</v>
      </c>
      <c r="C246" s="41" t="s">
        <v>24</v>
      </c>
      <c r="D246" s="3"/>
      <c r="E246" s="5"/>
      <c r="F246" s="5"/>
    </row>
    <row r="247" spans="2:6" x14ac:dyDescent="0.2">
      <c r="B247" s="40">
        <v>48802</v>
      </c>
      <c r="C247" s="41" t="s">
        <v>25</v>
      </c>
      <c r="D247" s="3"/>
      <c r="E247" s="5"/>
      <c r="F247" s="5"/>
    </row>
    <row r="248" spans="2:6" x14ac:dyDescent="0.2">
      <c r="B248" s="40">
        <v>48841</v>
      </c>
      <c r="C248" s="41" t="s">
        <v>26</v>
      </c>
      <c r="D248" s="3"/>
      <c r="E248" s="5"/>
      <c r="F248" s="5"/>
    </row>
    <row r="249" spans="2:6" x14ac:dyDescent="0.2">
      <c r="B249" s="40">
        <v>48845</v>
      </c>
      <c r="C249" s="41" t="s">
        <v>27</v>
      </c>
      <c r="D249" s="3"/>
      <c r="E249" s="5"/>
      <c r="F249" s="5"/>
    </row>
    <row r="250" spans="2:6" x14ac:dyDescent="0.2">
      <c r="B250" s="40">
        <v>48862</v>
      </c>
      <c r="C250" s="41" t="s">
        <v>28</v>
      </c>
      <c r="D250" s="3"/>
      <c r="E250" s="5"/>
      <c r="F250" s="5"/>
    </row>
    <row r="251" spans="2:6" x14ac:dyDescent="0.2">
      <c r="B251" s="40">
        <v>48886</v>
      </c>
      <c r="C251" s="41" t="s">
        <v>29</v>
      </c>
      <c r="D251" s="3"/>
      <c r="E251" s="5"/>
      <c r="F251" s="5"/>
    </row>
    <row r="252" spans="2:6" x14ac:dyDescent="0.2">
      <c r="B252" s="40">
        <v>48906</v>
      </c>
      <c r="C252" s="41" t="s">
        <v>30</v>
      </c>
      <c r="D252" s="3"/>
      <c r="E252" s="5"/>
      <c r="F252" s="5"/>
    </row>
    <row r="253" spans="2:6" x14ac:dyDescent="0.2">
      <c r="B253" s="40">
        <v>48945</v>
      </c>
      <c r="C253" s="41" t="s">
        <v>15</v>
      </c>
      <c r="D253" s="3"/>
      <c r="E253" s="5"/>
      <c r="F253" s="5"/>
    </row>
    <row r="254" spans="2:6" x14ac:dyDescent="0.2">
      <c r="B254" s="40">
        <v>48946</v>
      </c>
      <c r="C254" s="41" t="s">
        <v>41</v>
      </c>
      <c r="D254" s="3"/>
      <c r="E254" s="5"/>
      <c r="F254" s="5"/>
    </row>
    <row r="255" spans="2:6" x14ac:dyDescent="0.2">
      <c r="B255" s="40">
        <v>48953</v>
      </c>
      <c r="C255" s="41" t="s">
        <v>16</v>
      </c>
      <c r="D255" s="3"/>
      <c r="E255" s="5"/>
      <c r="F255" s="5"/>
    </row>
    <row r="256" spans="2:6" x14ac:dyDescent="0.2">
      <c r="B256" s="40">
        <v>48986</v>
      </c>
      <c r="C256" s="41" t="s">
        <v>17</v>
      </c>
      <c r="D256" s="3"/>
      <c r="E256" s="5"/>
      <c r="F256" s="5"/>
    </row>
    <row r="257" spans="2:6" x14ac:dyDescent="0.2">
      <c r="B257" s="40">
        <v>48998</v>
      </c>
      <c r="C257" s="41" t="s">
        <v>18</v>
      </c>
      <c r="D257" s="3"/>
      <c r="E257" s="5"/>
      <c r="F257" s="5"/>
    </row>
    <row r="258" spans="2:6" x14ac:dyDescent="0.2">
      <c r="B258" s="40">
        <v>49023</v>
      </c>
      <c r="C258" s="41" t="s">
        <v>19</v>
      </c>
      <c r="D258" s="3"/>
      <c r="E258" s="5"/>
      <c r="F258" s="5"/>
    </row>
    <row r="259" spans="2:6" x14ac:dyDescent="0.2">
      <c r="B259" s="40">
        <v>49063</v>
      </c>
      <c r="C259" s="41" t="s">
        <v>20</v>
      </c>
      <c r="D259" s="3"/>
      <c r="E259" s="5"/>
      <c r="F259" s="5"/>
    </row>
    <row r="260" spans="2:6" x14ac:dyDescent="0.2">
      <c r="B260" s="40">
        <v>49067</v>
      </c>
      <c r="C260" s="41" t="s">
        <v>21</v>
      </c>
      <c r="D260" s="3"/>
      <c r="E260" s="5"/>
      <c r="F260" s="5"/>
    </row>
    <row r="261" spans="2:6" x14ac:dyDescent="0.2">
      <c r="B261" s="40">
        <v>49068</v>
      </c>
      <c r="C261" s="41" t="s">
        <v>22</v>
      </c>
      <c r="D261" s="3"/>
      <c r="E261" s="5"/>
      <c r="F261" s="5"/>
    </row>
    <row r="262" spans="2:6" x14ac:dyDescent="0.2">
      <c r="B262" s="40">
        <v>49069</v>
      </c>
      <c r="C262" s="41" t="s">
        <v>23</v>
      </c>
      <c r="D262" s="3"/>
      <c r="E262" s="5"/>
      <c r="F262" s="5"/>
    </row>
    <row r="263" spans="2:6" x14ac:dyDescent="0.2">
      <c r="B263" s="40">
        <v>49142</v>
      </c>
      <c r="C263" s="41" t="s">
        <v>24</v>
      </c>
      <c r="D263" s="3"/>
      <c r="E263" s="5"/>
      <c r="F263" s="5"/>
    </row>
    <row r="264" spans="2:6" x14ac:dyDescent="0.2">
      <c r="B264" s="40">
        <v>49167</v>
      </c>
      <c r="C264" s="41" t="s">
        <v>25</v>
      </c>
      <c r="D264" s="3"/>
      <c r="E264" s="5"/>
      <c r="F264" s="5"/>
    </row>
    <row r="265" spans="2:6" x14ac:dyDescent="0.2">
      <c r="B265" s="40">
        <v>49205</v>
      </c>
      <c r="C265" s="41" t="s">
        <v>26</v>
      </c>
      <c r="D265" s="3"/>
      <c r="E265" s="5"/>
      <c r="F265" s="5"/>
    </row>
    <row r="266" spans="2:6" x14ac:dyDescent="0.2">
      <c r="B266" s="40">
        <v>49210</v>
      </c>
      <c r="C266" s="41" t="s">
        <v>27</v>
      </c>
      <c r="D266" s="3"/>
      <c r="E266" s="5"/>
      <c r="F266" s="5"/>
    </row>
    <row r="267" spans="2:6" x14ac:dyDescent="0.2">
      <c r="B267" s="40">
        <v>49226</v>
      </c>
      <c r="C267" s="41" t="s">
        <v>28</v>
      </c>
      <c r="D267" s="3"/>
      <c r="E267" s="5"/>
      <c r="F267" s="5"/>
    </row>
    <row r="268" spans="2:6" x14ac:dyDescent="0.2">
      <c r="B268" s="40">
        <v>49251</v>
      </c>
      <c r="C268" s="41" t="s">
        <v>29</v>
      </c>
      <c r="D268" s="3"/>
      <c r="E268" s="5"/>
      <c r="F268" s="5"/>
    </row>
    <row r="269" spans="2:6" x14ac:dyDescent="0.2">
      <c r="B269" s="40">
        <v>49271</v>
      </c>
      <c r="C269" s="41" t="s">
        <v>30</v>
      </c>
      <c r="D269" s="3"/>
      <c r="E269" s="5"/>
      <c r="F269" s="5"/>
    </row>
    <row r="270" spans="2:6" x14ac:dyDescent="0.2">
      <c r="B270" s="40">
        <v>49310</v>
      </c>
      <c r="C270" s="41" t="s">
        <v>15</v>
      </c>
      <c r="D270" s="3"/>
      <c r="E270" s="5"/>
      <c r="F270" s="5"/>
    </row>
    <row r="271" spans="2:6" x14ac:dyDescent="0.2">
      <c r="B271" s="40">
        <v>49317</v>
      </c>
      <c r="C271" s="41" t="s">
        <v>16</v>
      </c>
      <c r="D271" s="3"/>
      <c r="E271" s="5"/>
      <c r="F271" s="5"/>
    </row>
    <row r="272" spans="2:6" x14ac:dyDescent="0.2">
      <c r="B272" s="40">
        <v>49351</v>
      </c>
      <c r="C272" s="41" t="s">
        <v>17</v>
      </c>
      <c r="D272" s="3"/>
      <c r="E272" s="5"/>
      <c r="F272" s="5"/>
    </row>
    <row r="273" spans="2:6" x14ac:dyDescent="0.2">
      <c r="B273" s="40">
        <v>49352</v>
      </c>
      <c r="C273" s="41" t="s">
        <v>41</v>
      </c>
      <c r="D273" s="3"/>
      <c r="E273" s="5"/>
      <c r="F273" s="5"/>
    </row>
    <row r="274" spans="2:6" x14ac:dyDescent="0.2">
      <c r="B274" s="40">
        <v>49363</v>
      </c>
      <c r="C274" s="41" t="s">
        <v>18</v>
      </c>
      <c r="D274" s="3"/>
      <c r="E274" s="5"/>
      <c r="F274" s="5"/>
    </row>
    <row r="275" spans="2:6" x14ac:dyDescent="0.2">
      <c r="B275" s="40">
        <v>49389</v>
      </c>
      <c r="C275" s="41" t="s">
        <v>19</v>
      </c>
      <c r="D275" s="3"/>
      <c r="E275" s="5"/>
      <c r="F275" s="5"/>
    </row>
    <row r="276" spans="2:6" x14ac:dyDescent="0.2">
      <c r="B276" s="40">
        <v>49428</v>
      </c>
      <c r="C276" s="41" t="s">
        <v>20</v>
      </c>
      <c r="D276" s="3"/>
      <c r="E276" s="5"/>
      <c r="F276" s="5"/>
    </row>
    <row r="277" spans="2:6" x14ac:dyDescent="0.2">
      <c r="B277" s="40">
        <v>49429</v>
      </c>
      <c r="C277" s="41" t="s">
        <v>41</v>
      </c>
      <c r="D277" s="3"/>
      <c r="E277" s="5"/>
      <c r="F277" s="5"/>
    </row>
    <row r="278" spans="2:6" x14ac:dyDescent="0.2">
      <c r="B278" s="40">
        <v>49432</v>
      </c>
      <c r="C278" s="41" t="s">
        <v>21</v>
      </c>
      <c r="D278" s="3"/>
      <c r="E278" s="5"/>
      <c r="F278" s="5"/>
    </row>
    <row r="279" spans="2:6" x14ac:dyDescent="0.2">
      <c r="B279" s="40">
        <v>49433</v>
      </c>
      <c r="C279" s="41" t="s">
        <v>22</v>
      </c>
      <c r="D279" s="3"/>
      <c r="E279" s="5"/>
      <c r="F279" s="5"/>
    </row>
    <row r="280" spans="2:6" x14ac:dyDescent="0.2">
      <c r="B280" s="40">
        <v>49434</v>
      </c>
      <c r="C280" s="41" t="s">
        <v>23</v>
      </c>
      <c r="D280" s="3"/>
      <c r="E280" s="5"/>
      <c r="F280" s="5"/>
    </row>
    <row r="281" spans="2:6" x14ac:dyDescent="0.2">
      <c r="B281" s="40">
        <v>49506</v>
      </c>
      <c r="C281" s="41" t="s">
        <v>24</v>
      </c>
      <c r="D281" s="3"/>
      <c r="E281" s="5"/>
      <c r="F281" s="5"/>
    </row>
    <row r="282" spans="2:6" x14ac:dyDescent="0.2">
      <c r="B282" s="40">
        <v>49532</v>
      </c>
      <c r="C282" s="41" t="s">
        <v>25</v>
      </c>
      <c r="D282" s="3"/>
      <c r="E282" s="5"/>
      <c r="F282" s="5"/>
    </row>
    <row r="283" spans="2:6" x14ac:dyDescent="0.2">
      <c r="B283" s="40">
        <v>49569</v>
      </c>
      <c r="C283" s="41" t="s">
        <v>26</v>
      </c>
      <c r="D283" s="3"/>
      <c r="E283" s="5"/>
      <c r="F283" s="5"/>
    </row>
    <row r="284" spans="2:6" x14ac:dyDescent="0.2">
      <c r="B284" s="40">
        <v>49575</v>
      </c>
      <c r="C284" s="41" t="s">
        <v>27</v>
      </c>
      <c r="D284" s="3"/>
      <c r="E284" s="5"/>
      <c r="F284" s="5"/>
    </row>
    <row r="285" spans="2:6" x14ac:dyDescent="0.2">
      <c r="B285" s="40">
        <v>49576</v>
      </c>
      <c r="C285" s="41" t="s">
        <v>41</v>
      </c>
      <c r="D285" s="3"/>
      <c r="E285" s="5"/>
      <c r="F285" s="5"/>
    </row>
    <row r="286" spans="2:6" x14ac:dyDescent="0.2">
      <c r="B286" s="40">
        <v>49590</v>
      </c>
      <c r="C286" s="41" t="s">
        <v>28</v>
      </c>
      <c r="D286" s="3"/>
      <c r="E286" s="5"/>
      <c r="F286" s="5"/>
    </row>
    <row r="287" spans="2:6" x14ac:dyDescent="0.2">
      <c r="B287" s="40">
        <v>49616</v>
      </c>
      <c r="C287" s="41" t="s">
        <v>29</v>
      </c>
      <c r="D287" s="3"/>
      <c r="E287" s="5"/>
      <c r="F287" s="5"/>
    </row>
    <row r="288" spans="2:6" x14ac:dyDescent="0.2">
      <c r="B288" s="40">
        <v>49636</v>
      </c>
      <c r="C288" s="41" t="s">
        <v>30</v>
      </c>
      <c r="D288" s="3"/>
      <c r="E288" s="5"/>
      <c r="F288" s="5"/>
    </row>
    <row r="289" spans="2:6" x14ac:dyDescent="0.2">
      <c r="B289" s="40">
        <v>49675</v>
      </c>
      <c r="C289" s="41" t="s">
        <v>15</v>
      </c>
      <c r="D289" s="3"/>
      <c r="E289" s="5"/>
      <c r="F289" s="5"/>
    </row>
    <row r="290" spans="2:6" x14ac:dyDescent="0.2">
      <c r="B290" s="40">
        <v>49688</v>
      </c>
      <c r="C290" s="41" t="s">
        <v>16</v>
      </c>
      <c r="D290" s="3"/>
      <c r="E290" s="5"/>
      <c r="F290" s="5"/>
    </row>
    <row r="291" spans="2:6" x14ac:dyDescent="0.2">
      <c r="B291" s="40">
        <v>49716</v>
      </c>
      <c r="C291" s="41" t="s">
        <v>17</v>
      </c>
      <c r="D291" s="3"/>
      <c r="E291" s="5"/>
      <c r="F291" s="5"/>
    </row>
    <row r="292" spans="2:6" x14ac:dyDescent="0.2">
      <c r="B292" s="40">
        <v>49728</v>
      </c>
      <c r="C292" s="41" t="s">
        <v>18</v>
      </c>
      <c r="D292" s="3"/>
      <c r="E292" s="5"/>
      <c r="F292" s="5"/>
    </row>
    <row r="293" spans="2:6" x14ac:dyDescent="0.2">
      <c r="B293" s="40">
        <v>49754</v>
      </c>
      <c r="C293" s="41" t="s">
        <v>19</v>
      </c>
      <c r="D293" s="3"/>
      <c r="E293" s="5"/>
      <c r="F293" s="5"/>
    </row>
    <row r="294" spans="2:6" x14ac:dyDescent="0.2">
      <c r="B294" s="40">
        <v>49794</v>
      </c>
      <c r="C294" s="41" t="s">
        <v>20</v>
      </c>
      <c r="D294" s="3"/>
      <c r="E294" s="5"/>
      <c r="F294" s="5"/>
    </row>
    <row r="295" spans="2:6" x14ac:dyDescent="0.2">
      <c r="B295" s="40">
        <v>49798</v>
      </c>
      <c r="C295" s="41" t="s">
        <v>21</v>
      </c>
      <c r="D295" s="3"/>
      <c r="E295" s="5"/>
      <c r="F295" s="5"/>
    </row>
    <row r="296" spans="2:6" x14ac:dyDescent="0.2">
      <c r="B296" s="40">
        <v>49799</v>
      </c>
      <c r="C296" s="41" t="s">
        <v>22</v>
      </c>
      <c r="D296" s="3"/>
      <c r="E296" s="5"/>
      <c r="F296" s="5"/>
    </row>
    <row r="297" spans="2:6" x14ac:dyDescent="0.2">
      <c r="B297" s="40">
        <v>49800</v>
      </c>
      <c r="C297" s="41" t="s">
        <v>23</v>
      </c>
      <c r="D297" s="3"/>
      <c r="E297" s="5"/>
      <c r="F297" s="5"/>
    </row>
    <row r="298" spans="2:6" x14ac:dyDescent="0.2">
      <c r="B298" s="40">
        <v>49801</v>
      </c>
      <c r="C298" s="41" t="s">
        <v>41</v>
      </c>
      <c r="D298" s="3"/>
      <c r="E298" s="5"/>
      <c r="F298" s="5"/>
    </row>
    <row r="299" spans="2:6" x14ac:dyDescent="0.2">
      <c r="B299" s="40">
        <v>49877</v>
      </c>
      <c r="C299" s="41" t="s">
        <v>24</v>
      </c>
      <c r="D299" s="3"/>
      <c r="E299" s="5"/>
      <c r="F299" s="5"/>
    </row>
    <row r="300" spans="2:6" x14ac:dyDescent="0.2">
      <c r="B300" s="40">
        <v>49898</v>
      </c>
      <c r="C300" s="41" t="s">
        <v>25</v>
      </c>
      <c r="D300" s="3"/>
      <c r="E300" s="5"/>
      <c r="F300" s="5"/>
    </row>
    <row r="301" spans="2:6" x14ac:dyDescent="0.2">
      <c r="B301" s="40">
        <v>49933</v>
      </c>
      <c r="C301" s="41" t="s">
        <v>26</v>
      </c>
      <c r="D301" s="3"/>
      <c r="E301" s="5"/>
      <c r="F301" s="5"/>
    </row>
    <row r="302" spans="2:6" x14ac:dyDescent="0.2">
      <c r="B302" s="40">
        <v>49940</v>
      </c>
      <c r="C302" s="41" t="s">
        <v>27</v>
      </c>
      <c r="D302" s="3"/>
      <c r="E302" s="5"/>
      <c r="F302" s="5"/>
    </row>
    <row r="303" spans="2:6" x14ac:dyDescent="0.2">
      <c r="B303" s="40">
        <v>49961</v>
      </c>
      <c r="C303" s="41" t="s">
        <v>28</v>
      </c>
      <c r="D303" s="3"/>
      <c r="E303" s="5"/>
      <c r="F303" s="5"/>
    </row>
    <row r="304" spans="2:6" x14ac:dyDescent="0.2">
      <c r="B304" s="40">
        <v>49982</v>
      </c>
      <c r="C304" s="41" t="s">
        <v>29</v>
      </c>
      <c r="D304" s="3"/>
      <c r="E304" s="5"/>
      <c r="F304" s="5"/>
    </row>
    <row r="305" spans="2:6" x14ac:dyDescent="0.2">
      <c r="B305" s="40">
        <v>50002</v>
      </c>
      <c r="C305" s="41" t="s">
        <v>30</v>
      </c>
      <c r="D305" s="3"/>
      <c r="E305" s="5"/>
      <c r="F305" s="5"/>
    </row>
    <row r="306" spans="2:6" x14ac:dyDescent="0.2">
      <c r="B306" s="40">
        <v>50003</v>
      </c>
      <c r="C306" s="41" t="s">
        <v>41</v>
      </c>
      <c r="D306" s="3"/>
      <c r="E306" s="5"/>
      <c r="F306" s="5"/>
    </row>
    <row r="307" spans="2:6" x14ac:dyDescent="0.2">
      <c r="E307" s="5"/>
      <c r="F307" s="5"/>
    </row>
    <row r="308" spans="2:6" x14ac:dyDescent="0.2">
      <c r="E308" s="5"/>
      <c r="F308" s="5"/>
    </row>
    <row r="309" spans="2:6" x14ac:dyDescent="0.2">
      <c r="E309" s="5"/>
      <c r="F309" s="5"/>
    </row>
    <row r="310" spans="2:6" x14ac:dyDescent="0.2">
      <c r="E310" s="5"/>
      <c r="F310" s="5"/>
    </row>
    <row r="311" spans="2:6" x14ac:dyDescent="0.2">
      <c r="E311" s="5"/>
      <c r="F311" s="5"/>
    </row>
    <row r="312" spans="2:6" x14ac:dyDescent="0.2">
      <c r="E312" s="5"/>
      <c r="F312" s="5"/>
    </row>
    <row r="313" spans="2:6" x14ac:dyDescent="0.2">
      <c r="E313" s="5"/>
      <c r="F313" s="5"/>
    </row>
    <row r="314" spans="2:6" x14ac:dyDescent="0.2">
      <c r="E314" s="5"/>
      <c r="F314" s="5"/>
    </row>
    <row r="315" spans="2:6" x14ac:dyDescent="0.2">
      <c r="E315" s="5"/>
      <c r="F315" s="5"/>
    </row>
    <row r="316" spans="2:6" x14ac:dyDescent="0.2">
      <c r="E316" s="5"/>
      <c r="F316" s="5"/>
    </row>
    <row r="317" spans="2:6" x14ac:dyDescent="0.2">
      <c r="E317" s="5"/>
      <c r="F317" s="5"/>
    </row>
    <row r="318" spans="2:6" x14ac:dyDescent="0.2">
      <c r="E318" s="5"/>
      <c r="F318" s="5"/>
    </row>
    <row r="319" spans="2:6" x14ac:dyDescent="0.2">
      <c r="E319" s="5"/>
      <c r="F319" s="5"/>
    </row>
    <row r="320" spans="2:6" x14ac:dyDescent="0.2">
      <c r="E320" s="5"/>
      <c r="F320" s="5"/>
    </row>
    <row r="321" spans="5:6" x14ac:dyDescent="0.2">
      <c r="E321" s="5"/>
      <c r="F321" s="5"/>
    </row>
    <row r="322" spans="5:6" x14ac:dyDescent="0.2">
      <c r="E322" s="5"/>
      <c r="F322" s="5"/>
    </row>
    <row r="323" spans="5:6" x14ac:dyDescent="0.2">
      <c r="E323" s="5"/>
      <c r="F323" s="5"/>
    </row>
    <row r="324" spans="5:6" x14ac:dyDescent="0.2">
      <c r="E324" s="5"/>
      <c r="F324" s="5"/>
    </row>
    <row r="325" spans="5:6" x14ac:dyDescent="0.2">
      <c r="E325" s="5"/>
      <c r="F325" s="5"/>
    </row>
    <row r="326" spans="5:6" x14ac:dyDescent="0.2">
      <c r="E326" s="5"/>
      <c r="F326" s="5"/>
    </row>
    <row r="327" spans="5:6" x14ac:dyDescent="0.2">
      <c r="E327" s="5"/>
      <c r="F327" s="5"/>
    </row>
    <row r="328" spans="5:6" x14ac:dyDescent="0.2">
      <c r="E328" s="5"/>
      <c r="F328" s="5"/>
    </row>
    <row r="329" spans="5:6" x14ac:dyDescent="0.2">
      <c r="E329" s="5"/>
      <c r="F329" s="5"/>
    </row>
    <row r="330" spans="5:6" x14ac:dyDescent="0.2">
      <c r="E330" s="5"/>
      <c r="F330" s="5"/>
    </row>
    <row r="331" spans="5:6" x14ac:dyDescent="0.2">
      <c r="E331" s="5"/>
      <c r="F331" s="5"/>
    </row>
    <row r="332" spans="5:6" x14ac:dyDescent="0.2">
      <c r="E332" s="5"/>
      <c r="F332" s="5"/>
    </row>
    <row r="333" spans="5:6" x14ac:dyDescent="0.2">
      <c r="E333" s="5"/>
      <c r="F333" s="5"/>
    </row>
    <row r="334" spans="5:6" x14ac:dyDescent="0.2">
      <c r="E334" s="5"/>
      <c r="F334" s="5"/>
    </row>
    <row r="335" spans="5:6" x14ac:dyDescent="0.2">
      <c r="E335" s="5"/>
      <c r="F335" s="5"/>
    </row>
    <row r="336" spans="5:6" x14ac:dyDescent="0.2">
      <c r="E336" s="5"/>
      <c r="F336" s="5"/>
    </row>
    <row r="337" spans="5:6" x14ac:dyDescent="0.2">
      <c r="E337" s="5"/>
      <c r="F337" s="5"/>
    </row>
    <row r="338" spans="5:6" x14ac:dyDescent="0.2">
      <c r="E338" s="5"/>
      <c r="F338" s="5"/>
    </row>
    <row r="339" spans="5:6" x14ac:dyDescent="0.2">
      <c r="E339" s="5"/>
      <c r="F339" s="5"/>
    </row>
    <row r="340" spans="5:6" x14ac:dyDescent="0.2">
      <c r="E340" s="5"/>
      <c r="F340" s="5"/>
    </row>
    <row r="341" spans="5:6" x14ac:dyDescent="0.2">
      <c r="E341" s="5"/>
      <c r="F341" s="5"/>
    </row>
    <row r="342" spans="5:6" x14ac:dyDescent="0.2">
      <c r="E342" s="5"/>
      <c r="F342" s="5"/>
    </row>
    <row r="343" spans="5:6" x14ac:dyDescent="0.2">
      <c r="E343" s="5"/>
      <c r="F343" s="5"/>
    </row>
    <row r="344" spans="5:6" x14ac:dyDescent="0.2">
      <c r="E344" s="5"/>
      <c r="F344" s="5"/>
    </row>
    <row r="345" spans="5:6" x14ac:dyDescent="0.2">
      <c r="E345" s="5"/>
      <c r="F345" s="5"/>
    </row>
    <row r="346" spans="5:6" x14ac:dyDescent="0.2">
      <c r="E346" s="5"/>
      <c r="F346" s="5"/>
    </row>
    <row r="347" spans="5:6" x14ac:dyDescent="0.2">
      <c r="E347" s="5"/>
      <c r="F347" s="5"/>
    </row>
    <row r="348" spans="5:6" x14ac:dyDescent="0.2">
      <c r="E348" s="5"/>
      <c r="F348" s="5"/>
    </row>
    <row r="349" spans="5:6" x14ac:dyDescent="0.2">
      <c r="E349" s="5"/>
      <c r="F349" s="5"/>
    </row>
    <row r="350" spans="5:6" x14ac:dyDescent="0.2">
      <c r="E350" s="5"/>
      <c r="F350" s="5"/>
    </row>
    <row r="351" spans="5:6" x14ac:dyDescent="0.2">
      <c r="E351" s="5"/>
      <c r="F351" s="5"/>
    </row>
    <row r="352" spans="5:6" x14ac:dyDescent="0.2">
      <c r="E352" s="5"/>
      <c r="F352" s="5"/>
    </row>
  </sheetData>
  <mergeCells count="1">
    <mergeCell ref="B2:C2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工程表</vt:lpstr>
      <vt:lpstr>工程表Config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都丸卓也</dc:creator>
  <cp:lastModifiedBy>都丸卓也</cp:lastModifiedBy>
  <dcterms:created xsi:type="dcterms:W3CDTF">2021-04-24T02:39:53Z</dcterms:created>
  <dcterms:modified xsi:type="dcterms:W3CDTF">2021-05-01T14:50:51Z</dcterms:modified>
</cp:coreProperties>
</file>